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aigu\Documents\GitHub\MTR-Buslcds\"/>
    </mc:Choice>
  </mc:AlternateContent>
  <xr:revisionPtr revIDLastSave="0" documentId="8_{CACC74DD-B811-4E6D-B811-99BFBEE257DF}" xr6:coauthVersionLast="47" xr6:coauthVersionMax="47" xr10:uidLastSave="{00000000-0000-0000-0000-000000000000}"/>
  <bookViews>
    <workbookView xWindow="5760" yWindow="0" windowWidth="17280" windowHeight="9960" firstSheet="12" activeTab="13" xr2:uid="{6227849B-C2A5-499F-9B4E-6B84857B3AD6}"/>
  </bookViews>
  <sheets>
    <sheet name="连接处前" sheetId="2" r:id="rId1"/>
    <sheet name="速得器3" sheetId="7" r:id="rId2"/>
    <sheet name="连接处后" sheetId="3" r:id="rId3"/>
    <sheet name="速得器4" sheetId="8" r:id="rId4"/>
    <sheet name="左门" sheetId="1" r:id="rId5"/>
    <sheet name="速得器1" sheetId="6" r:id="rId6"/>
    <sheet name="右门" sheetId="4" r:id="rId7"/>
    <sheet name="速得器2" sheetId="5" r:id="rId8"/>
    <sheet name="巴士 车头" sheetId="9" r:id="rId9"/>
    <sheet name="巴士 车尾" sheetId="11" r:id="rId10"/>
    <sheet name="巴士 车侧" sheetId="10" r:id="rId11"/>
    <sheet name="巴士 LCD" sheetId="12" r:id="rId12"/>
    <sheet name="巴士 左风道屏" sheetId="13" r:id="rId13"/>
    <sheet name="巴士 右风道屏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0" l="1"/>
  <c r="M2" i="10" s="1"/>
  <c r="H8" i="14" a="1"/>
  <c r="H8" i="14" s="1"/>
  <c r="G8" i="14"/>
  <c r="F8" i="14"/>
  <c r="E8" i="14"/>
  <c r="G6" i="14"/>
  <c r="F6" i="14"/>
  <c r="E6" i="14"/>
  <c r="H6" i="14" s="1" a="1"/>
  <c r="H6" i="14" s="1"/>
  <c r="G5" i="14"/>
  <c r="F5" i="14"/>
  <c r="E5" i="14"/>
  <c r="H5" i="14" s="1" a="1"/>
  <c r="H5" i="14" s="1"/>
  <c r="L3" i="14"/>
  <c r="O3" i="14" s="1"/>
  <c r="K3" i="14"/>
  <c r="N3" i="14" s="1"/>
  <c r="J3" i="14"/>
  <c r="M3" i="14" s="1"/>
  <c r="D3" i="14"/>
  <c r="G3" i="14" s="1"/>
  <c r="C3" i="14"/>
  <c r="F3" i="14" s="1"/>
  <c r="B3" i="14"/>
  <c r="E3" i="14" s="1"/>
  <c r="L2" i="14"/>
  <c r="O2" i="14" s="1"/>
  <c r="K2" i="14"/>
  <c r="N2" i="14" s="1"/>
  <c r="J2" i="14"/>
  <c r="M2" i="14" s="1"/>
  <c r="D2" i="14"/>
  <c r="G2" i="14" s="1"/>
  <c r="C2" i="14"/>
  <c r="F2" i="14" s="1"/>
  <c r="B2" i="14"/>
  <c r="E2" i="14" s="1"/>
  <c r="G8" i="12"/>
  <c r="F8" i="12"/>
  <c r="E8" i="12"/>
  <c r="H8" i="12" s="1" a="1"/>
  <c r="H8" i="12" s="1"/>
  <c r="G6" i="12"/>
  <c r="F6" i="12"/>
  <c r="E6" i="12"/>
  <c r="H6" i="12" s="1" a="1"/>
  <c r="H6" i="12" s="1"/>
  <c r="G5" i="12"/>
  <c r="F5" i="12"/>
  <c r="E5" i="12"/>
  <c r="H5" i="12" s="1" a="1"/>
  <c r="H5" i="12" s="1"/>
  <c r="O3" i="12"/>
  <c r="N3" i="12"/>
  <c r="M3" i="12"/>
  <c r="P3" i="12" s="1" a="1"/>
  <c r="P3" i="12" s="1"/>
  <c r="L3" i="12"/>
  <c r="K3" i="12"/>
  <c r="J3" i="12"/>
  <c r="D3" i="12"/>
  <c r="G3" i="12" s="1"/>
  <c r="C3" i="12"/>
  <c r="F3" i="12" s="1"/>
  <c r="B3" i="12"/>
  <c r="E3" i="12" s="1"/>
  <c r="H3" i="12" s="1" a="1"/>
  <c r="H3" i="12" s="1"/>
  <c r="L2" i="12"/>
  <c r="O2" i="12" s="1"/>
  <c r="K2" i="12"/>
  <c r="N2" i="12" s="1"/>
  <c r="J2" i="12"/>
  <c r="M2" i="12" s="1"/>
  <c r="F2" i="12"/>
  <c r="E2" i="12"/>
  <c r="D2" i="12"/>
  <c r="G2" i="12" s="1"/>
  <c r="C2" i="12"/>
  <c r="B2" i="12"/>
  <c r="G8" i="13"/>
  <c r="F8" i="13"/>
  <c r="E8" i="13"/>
  <c r="H8" i="13" s="1" a="1"/>
  <c r="H8" i="13" s="1"/>
  <c r="G6" i="13"/>
  <c r="F6" i="13"/>
  <c r="E6" i="13"/>
  <c r="H6" i="13" s="1" a="1"/>
  <c r="H6" i="13" s="1"/>
  <c r="G5" i="13"/>
  <c r="F5" i="13"/>
  <c r="E5" i="13"/>
  <c r="H5" i="13" s="1" a="1"/>
  <c r="H5" i="13" s="1"/>
  <c r="O3" i="13"/>
  <c r="N3" i="13"/>
  <c r="L3" i="13"/>
  <c r="K3" i="13"/>
  <c r="J3" i="13"/>
  <c r="M3" i="13" s="1"/>
  <c r="P3" i="13" s="1" a="1"/>
  <c r="P3" i="13" s="1"/>
  <c r="D3" i="13"/>
  <c r="G3" i="13" s="1"/>
  <c r="C3" i="13"/>
  <c r="F3" i="13" s="1"/>
  <c r="B3" i="13"/>
  <c r="E3" i="13" s="1"/>
  <c r="H3" i="13" s="1" a="1"/>
  <c r="H3" i="13" s="1"/>
  <c r="L2" i="13"/>
  <c r="O2" i="13" s="1"/>
  <c r="K2" i="13"/>
  <c r="N2" i="13" s="1"/>
  <c r="J2" i="13"/>
  <c r="M2" i="13" s="1"/>
  <c r="P2" i="13" s="1" a="1"/>
  <c r="P2" i="13" s="1"/>
  <c r="D2" i="13"/>
  <c r="G2" i="13" s="1"/>
  <c r="C2" i="13"/>
  <c r="F2" i="13" s="1"/>
  <c r="B2" i="13"/>
  <c r="E2" i="13" s="1"/>
  <c r="H2" i="13" s="1" a="1"/>
  <c r="H2" i="13" s="1"/>
  <c r="G8" i="11"/>
  <c r="H8" i="11" s="1" a="1"/>
  <c r="H8" i="11" s="1"/>
  <c r="F8" i="11"/>
  <c r="E8" i="11"/>
  <c r="G6" i="11"/>
  <c r="F6" i="11"/>
  <c r="E6" i="11"/>
  <c r="H6" i="11" s="1" a="1"/>
  <c r="H6" i="11" s="1"/>
  <c r="G5" i="11"/>
  <c r="F5" i="11"/>
  <c r="E5" i="11"/>
  <c r="H5" i="11" s="1" a="1"/>
  <c r="H5" i="11" s="1"/>
  <c r="N3" i="11"/>
  <c r="L3" i="11"/>
  <c r="O3" i="11" s="1"/>
  <c r="K3" i="11"/>
  <c r="J3" i="11"/>
  <c r="M3" i="11" s="1"/>
  <c r="D3" i="11"/>
  <c r="G3" i="11" s="1"/>
  <c r="C3" i="11"/>
  <c r="F3" i="11" s="1"/>
  <c r="B3" i="11"/>
  <c r="E3" i="11" s="1"/>
  <c r="H3" i="11" s="1" a="1"/>
  <c r="H3" i="11" s="1"/>
  <c r="L2" i="11"/>
  <c r="O2" i="11" s="1"/>
  <c r="K2" i="11"/>
  <c r="N2" i="11" s="1"/>
  <c r="J2" i="11"/>
  <c r="M2" i="11" s="1"/>
  <c r="P2" i="11" s="1" a="1"/>
  <c r="P2" i="11" s="1"/>
  <c r="D2" i="11"/>
  <c r="G2" i="11" s="1"/>
  <c r="C2" i="11"/>
  <c r="F2" i="11" s="1"/>
  <c r="B2" i="11"/>
  <c r="E2" i="11" s="1"/>
  <c r="H8" i="10" a="1"/>
  <c r="H8" i="10" s="1"/>
  <c r="G8" i="10"/>
  <c r="F8" i="10"/>
  <c r="E8" i="10"/>
  <c r="G6" i="10"/>
  <c r="F6" i="10"/>
  <c r="E6" i="10"/>
  <c r="H6" i="10" s="1" a="1"/>
  <c r="H6" i="10" s="1"/>
  <c r="G5" i="10"/>
  <c r="F5" i="10"/>
  <c r="E5" i="10"/>
  <c r="H5" i="10" s="1" a="1"/>
  <c r="H5" i="10" s="1"/>
  <c r="L3" i="10"/>
  <c r="O3" i="10" s="1"/>
  <c r="K3" i="10"/>
  <c r="N3" i="10" s="1"/>
  <c r="J3" i="10"/>
  <c r="M3" i="10" s="1"/>
  <c r="D3" i="10"/>
  <c r="G3" i="10" s="1"/>
  <c r="C3" i="10"/>
  <c r="F3" i="10" s="1"/>
  <c r="B3" i="10"/>
  <c r="E3" i="10" s="1"/>
  <c r="L2" i="10"/>
  <c r="O2" i="10" s="1"/>
  <c r="K2" i="10"/>
  <c r="N2" i="10" s="1"/>
  <c r="D2" i="10"/>
  <c r="G2" i="10" s="1"/>
  <c r="C2" i="10"/>
  <c r="F2" i="10" s="1"/>
  <c r="H8" i="9" a="1"/>
  <c r="H8" i="9" s="1"/>
  <c r="G8" i="9"/>
  <c r="F8" i="9"/>
  <c r="E8" i="9"/>
  <c r="H6" i="9" a="1"/>
  <c r="H6" i="9" s="1"/>
  <c r="G6" i="9"/>
  <c r="F6" i="9"/>
  <c r="E6" i="9"/>
  <c r="H5" i="9" a="1"/>
  <c r="H5" i="9" s="1"/>
  <c r="G5" i="9"/>
  <c r="F5" i="9"/>
  <c r="E5" i="9"/>
  <c r="L3" i="9"/>
  <c r="O3" i="9" s="1"/>
  <c r="K3" i="9"/>
  <c r="N3" i="9" s="1"/>
  <c r="J3" i="9"/>
  <c r="M3" i="9" s="1"/>
  <c r="D3" i="9"/>
  <c r="G3" i="9" s="1"/>
  <c r="C3" i="9"/>
  <c r="F3" i="9" s="1"/>
  <c r="B3" i="9"/>
  <c r="E3" i="9" s="1"/>
  <c r="L2" i="9"/>
  <c r="O2" i="9" s="1"/>
  <c r="K2" i="9"/>
  <c r="N2" i="9" s="1"/>
  <c r="J2" i="9"/>
  <c r="M2" i="9" s="1"/>
  <c r="P2" i="9" s="1" a="1"/>
  <c r="P2" i="9" s="1"/>
  <c r="D2" i="9"/>
  <c r="G2" i="9" s="1"/>
  <c r="C2" i="9"/>
  <c r="F2" i="9" s="1"/>
  <c r="B2" i="9"/>
  <c r="E2" i="9" s="1"/>
  <c r="G8" i="8"/>
  <c r="F8" i="8"/>
  <c r="E8" i="8"/>
  <c r="H8" i="8" s="1" a="1"/>
  <c r="H8" i="8" s="1"/>
  <c r="G6" i="8"/>
  <c r="F6" i="8"/>
  <c r="E6" i="8"/>
  <c r="H6" i="8" s="1" a="1"/>
  <c r="H6" i="8" s="1"/>
  <c r="G5" i="8"/>
  <c r="F5" i="8"/>
  <c r="E5" i="8"/>
  <c r="H5" i="8" s="1" a="1"/>
  <c r="H5" i="8" s="1"/>
  <c r="N3" i="8"/>
  <c r="L3" i="8"/>
  <c r="O3" i="8" s="1"/>
  <c r="K3" i="8"/>
  <c r="J3" i="8"/>
  <c r="M3" i="8" s="1"/>
  <c r="D3" i="8"/>
  <c r="G3" i="8" s="1"/>
  <c r="C3" i="8"/>
  <c r="F3" i="8" s="1"/>
  <c r="B3" i="8"/>
  <c r="E3" i="8" s="1"/>
  <c r="L2" i="8"/>
  <c r="O2" i="8" s="1"/>
  <c r="K2" i="8"/>
  <c r="N2" i="8" s="1"/>
  <c r="J2" i="8"/>
  <c r="M2" i="8" s="1"/>
  <c r="D2" i="8"/>
  <c r="G2" i="8" s="1"/>
  <c r="C2" i="8"/>
  <c r="F2" i="8" s="1"/>
  <c r="B2" i="8"/>
  <c r="E2" i="8" s="1"/>
  <c r="D3" i="7"/>
  <c r="L2" i="7"/>
  <c r="J2" i="7"/>
  <c r="M2" i="7" s="1"/>
  <c r="B3" i="7"/>
  <c r="E3" i="7" s="1"/>
  <c r="H8" i="7" a="1"/>
  <c r="H8" i="7" s="1"/>
  <c r="G8" i="7"/>
  <c r="F8" i="7"/>
  <c r="E8" i="7"/>
  <c r="H6" i="7" a="1"/>
  <c r="H6" i="7" s="1"/>
  <c r="G6" i="7"/>
  <c r="F6" i="7"/>
  <c r="E6" i="7"/>
  <c r="H5" i="7" a="1"/>
  <c r="H5" i="7" s="1"/>
  <c r="G5" i="7"/>
  <c r="F5" i="7"/>
  <c r="E5" i="7"/>
  <c r="M3" i="7"/>
  <c r="L3" i="7"/>
  <c r="O3" i="7" s="1"/>
  <c r="K3" i="7"/>
  <c r="N3" i="7" s="1"/>
  <c r="J3" i="7"/>
  <c r="G3" i="7"/>
  <c r="C3" i="7"/>
  <c r="F3" i="7" s="1"/>
  <c r="O2" i="7"/>
  <c r="K2" i="7"/>
  <c r="N2" i="7" s="1"/>
  <c r="D2" i="7"/>
  <c r="G2" i="7" s="1"/>
  <c r="C2" i="7"/>
  <c r="F2" i="7" s="1"/>
  <c r="B2" i="7"/>
  <c r="E2" i="7" s="1"/>
  <c r="G8" i="6"/>
  <c r="F8" i="6"/>
  <c r="E8" i="6"/>
  <c r="H8" i="6" s="1" a="1"/>
  <c r="H8" i="6" s="1"/>
  <c r="G6" i="6"/>
  <c r="F6" i="6"/>
  <c r="E6" i="6"/>
  <c r="H6" i="6" s="1" a="1"/>
  <c r="H6" i="6" s="1"/>
  <c r="G5" i="6"/>
  <c r="F5" i="6"/>
  <c r="E5" i="6"/>
  <c r="H5" i="6" s="1" a="1"/>
  <c r="H5" i="6" s="1"/>
  <c r="L3" i="6"/>
  <c r="O3" i="6" s="1"/>
  <c r="K3" i="6"/>
  <c r="N3" i="6" s="1"/>
  <c r="J3" i="6"/>
  <c r="M3" i="6" s="1"/>
  <c r="D3" i="6"/>
  <c r="G3" i="6" s="1"/>
  <c r="C3" i="6"/>
  <c r="F3" i="6" s="1"/>
  <c r="B3" i="6"/>
  <c r="E3" i="6" s="1"/>
  <c r="H3" i="6" s="1" a="1"/>
  <c r="H3" i="6" s="1"/>
  <c r="L2" i="6"/>
  <c r="O2" i="6" s="1"/>
  <c r="K2" i="6"/>
  <c r="N2" i="6" s="1"/>
  <c r="J2" i="6"/>
  <c r="M2" i="6" s="1"/>
  <c r="D2" i="6"/>
  <c r="G2" i="6" s="1"/>
  <c r="C2" i="6"/>
  <c r="F2" i="6" s="1"/>
  <c r="B2" i="6"/>
  <c r="E2" i="6" s="1"/>
  <c r="H2" i="6" s="1" a="1"/>
  <c r="H2" i="6" s="1"/>
  <c r="K3" i="5"/>
  <c r="J3" i="5"/>
  <c r="C3" i="5"/>
  <c r="F3" i="5" s="1"/>
  <c r="B3" i="5"/>
  <c r="E3" i="5" s="1"/>
  <c r="L3" i="5"/>
  <c r="O3" i="5" s="1"/>
  <c r="L2" i="5"/>
  <c r="O2" i="5" s="1"/>
  <c r="D3" i="5"/>
  <c r="G3" i="5" s="1"/>
  <c r="D2" i="5"/>
  <c r="G2" i="5" s="1"/>
  <c r="K2" i="5"/>
  <c r="N2" i="5" s="1"/>
  <c r="C2" i="5"/>
  <c r="F2" i="5" s="1"/>
  <c r="B2" i="5"/>
  <c r="E2" i="5" s="1"/>
  <c r="J2" i="5"/>
  <c r="M2" i="5" s="1"/>
  <c r="G8" i="5"/>
  <c r="F8" i="5"/>
  <c r="E8" i="5"/>
  <c r="H8" i="5" s="1" a="1"/>
  <c r="H8" i="5" s="1"/>
  <c r="G6" i="5"/>
  <c r="F6" i="5"/>
  <c r="E6" i="5"/>
  <c r="H6" i="5" s="1" a="1"/>
  <c r="H6" i="5" s="1"/>
  <c r="G5" i="5"/>
  <c r="F5" i="5"/>
  <c r="E5" i="5"/>
  <c r="H5" i="5" s="1" a="1"/>
  <c r="H5" i="5" s="1"/>
  <c r="N3" i="5"/>
  <c r="M3" i="5"/>
  <c r="E2" i="4"/>
  <c r="F2" i="4"/>
  <c r="G2" i="4"/>
  <c r="H2" i="4" a="1"/>
  <c r="H2" i="4" s="1"/>
  <c r="M2" i="4"/>
  <c r="P2" i="4" s="1" a="1"/>
  <c r="P2" i="4" s="1"/>
  <c r="N2" i="4"/>
  <c r="O2" i="4"/>
  <c r="E3" i="4"/>
  <c r="F3" i="4"/>
  <c r="G3" i="4"/>
  <c r="H3" i="4" a="1"/>
  <c r="H3" i="4" s="1"/>
  <c r="M3" i="4"/>
  <c r="N3" i="4"/>
  <c r="O3" i="4"/>
  <c r="P3" i="4" a="1"/>
  <c r="P3" i="4" s="1"/>
  <c r="E5" i="4"/>
  <c r="F5" i="4"/>
  <c r="G5" i="4"/>
  <c r="H5" i="4" a="1"/>
  <c r="H5" i="4" s="1"/>
  <c r="E6" i="4"/>
  <c r="H6" i="4" s="1" a="1"/>
  <c r="H6" i="4" s="1"/>
  <c r="F6" i="4"/>
  <c r="G6" i="4"/>
  <c r="E8" i="4"/>
  <c r="F8" i="4"/>
  <c r="G8" i="4"/>
  <c r="H8" i="4" a="1"/>
  <c r="H8" i="4" s="1"/>
  <c r="N3" i="1"/>
  <c r="M3" i="1"/>
  <c r="F3" i="1"/>
  <c r="E3" i="1"/>
  <c r="G3" i="1"/>
  <c r="G2" i="1"/>
  <c r="N2" i="1"/>
  <c r="F2" i="1"/>
  <c r="M2" i="1"/>
  <c r="E2" i="1"/>
  <c r="E2" i="2"/>
  <c r="G8" i="3"/>
  <c r="F8" i="3"/>
  <c r="E8" i="3"/>
  <c r="H8" i="3" s="1" a="1"/>
  <c r="H8" i="3" s="1"/>
  <c r="H6" i="3" a="1"/>
  <c r="H6" i="3" s="1"/>
  <c r="G6" i="3"/>
  <c r="F6" i="3"/>
  <c r="E6" i="3"/>
  <c r="G5" i="3"/>
  <c r="F5" i="3"/>
  <c r="E5" i="3"/>
  <c r="H5" i="3" s="1" a="1"/>
  <c r="H5" i="3" s="1"/>
  <c r="O3" i="3"/>
  <c r="N3" i="3"/>
  <c r="M3" i="3"/>
  <c r="G3" i="3"/>
  <c r="F3" i="3"/>
  <c r="E3" i="3"/>
  <c r="O2" i="3"/>
  <c r="N2" i="3"/>
  <c r="M2" i="3"/>
  <c r="G2" i="3"/>
  <c r="F2" i="3"/>
  <c r="E2" i="3"/>
  <c r="G8" i="2"/>
  <c r="H8" i="2" s="1" a="1"/>
  <c r="H8" i="2" s="1"/>
  <c r="F8" i="2"/>
  <c r="E8" i="2"/>
  <c r="G6" i="2"/>
  <c r="F6" i="2"/>
  <c r="H6" i="2" s="1" a="1"/>
  <c r="H6" i="2" s="1"/>
  <c r="E6" i="2"/>
  <c r="G5" i="2"/>
  <c r="F5" i="2"/>
  <c r="E5" i="2"/>
  <c r="O3" i="2"/>
  <c r="P3" i="2" s="1" a="1"/>
  <c r="P3" i="2" s="1"/>
  <c r="N3" i="2"/>
  <c r="M3" i="2"/>
  <c r="G3" i="2"/>
  <c r="F3" i="2"/>
  <c r="E3" i="2"/>
  <c r="H3" i="2" s="1" a="1"/>
  <c r="H3" i="2" s="1"/>
  <c r="O2" i="2"/>
  <c r="N2" i="2"/>
  <c r="M2" i="2"/>
  <c r="G2" i="2"/>
  <c r="F2" i="2"/>
  <c r="O2" i="1"/>
  <c r="G6" i="1"/>
  <c r="G5" i="1"/>
  <c r="G8" i="1"/>
  <c r="E8" i="1"/>
  <c r="F5" i="1"/>
  <c r="F8" i="1"/>
  <c r="F6" i="1"/>
  <c r="E6" i="1"/>
  <c r="E5" i="1"/>
  <c r="O3" i="1"/>
  <c r="P3" i="14" l="1" a="1"/>
  <c r="P3" i="14" s="1"/>
  <c r="H3" i="14" a="1"/>
  <c r="H3" i="14" s="1"/>
  <c r="H2" i="14" a="1"/>
  <c r="H2" i="14" s="1"/>
  <c r="H3" i="10" a="1"/>
  <c r="H3" i="10" s="1"/>
  <c r="B2" i="10"/>
  <c r="E2" i="10" s="1"/>
  <c r="H2" i="10" s="1" a="1"/>
  <c r="H2" i="10" s="1"/>
  <c r="P3" i="11" a="1"/>
  <c r="P3" i="11" s="1"/>
  <c r="P3" i="10" a="1"/>
  <c r="P3" i="10" s="1"/>
  <c r="P2" i="10" a="1"/>
  <c r="P2" i="10" s="1"/>
  <c r="H3" i="9" a="1"/>
  <c r="H3" i="9" s="1"/>
  <c r="P3" i="9" a="1"/>
  <c r="P3" i="9" s="1"/>
  <c r="H2" i="9" a="1"/>
  <c r="H2" i="9" s="1"/>
  <c r="P2" i="14" a="1"/>
  <c r="P2" i="14" s="1"/>
  <c r="H2" i="12" a="1"/>
  <c r="H2" i="12" s="1"/>
  <c r="H9" i="12" s="1"/>
  <c r="P2" i="12" a="1"/>
  <c r="P2" i="12" s="1"/>
  <c r="H9" i="13"/>
  <c r="H2" i="11" a="1"/>
  <c r="H2" i="11" s="1"/>
  <c r="H3" i="8" a="1"/>
  <c r="H3" i="8" s="1"/>
  <c r="P3" i="8" a="1"/>
  <c r="P3" i="8" s="1"/>
  <c r="H2" i="8" a="1"/>
  <c r="H2" i="8" s="1"/>
  <c r="P2" i="8" a="1"/>
  <c r="P2" i="8" s="1"/>
  <c r="H3" i="7" a="1"/>
  <c r="H3" i="7" s="1"/>
  <c r="H2" i="7" a="1"/>
  <c r="H2" i="7" s="1"/>
  <c r="P2" i="7" a="1"/>
  <c r="P2" i="7" s="1"/>
  <c r="P3" i="7" a="1"/>
  <c r="P3" i="7" s="1"/>
  <c r="P3" i="6" a="1"/>
  <c r="P3" i="6" s="1"/>
  <c r="P3" i="5" a="1"/>
  <c r="P3" i="5" s="1"/>
  <c r="P2" i="5" a="1"/>
  <c r="P2" i="5" s="1"/>
  <c r="P2" i="6" a="1"/>
  <c r="P2" i="6" s="1"/>
  <c r="H3" i="5" a="1"/>
  <c r="H3" i="5" s="1"/>
  <c r="H2" i="5" a="1"/>
  <c r="H2" i="5" s="1"/>
  <c r="H9" i="4"/>
  <c r="P3" i="1" a="1"/>
  <c r="P3" i="1" s="1"/>
  <c r="P2" i="1" a="1"/>
  <c r="P2" i="1" s="1"/>
  <c r="H2" i="1" a="1"/>
  <c r="H2" i="1" s="1"/>
  <c r="H2" i="2" a="1"/>
  <c r="H2" i="2" s="1"/>
  <c r="H3" i="3" a="1"/>
  <c r="H3" i="3" s="1"/>
  <c r="P2" i="3" a="1"/>
  <c r="P2" i="3" s="1"/>
  <c r="P2" i="2" a="1"/>
  <c r="P2" i="2" s="1"/>
  <c r="P3" i="3" a="1"/>
  <c r="P3" i="3" s="1"/>
  <c r="H5" i="2" a="1"/>
  <c r="H5" i="2" s="1"/>
  <c r="H2" i="3" a="1"/>
  <c r="H2" i="3" s="1"/>
  <c r="H9" i="3" s="1"/>
  <c r="H6" i="1" a="1"/>
  <c r="H6" i="1" s="1"/>
  <c r="H8" i="1" a="1"/>
  <c r="H8" i="1" s="1"/>
  <c r="H5" i="1" a="1"/>
  <c r="H5" i="1" s="1"/>
  <c r="H3" i="1" a="1"/>
  <c r="H3" i="1" s="1"/>
  <c r="H9" i="14" l="1"/>
  <c r="H9" i="11"/>
  <c r="H9" i="10"/>
  <c r="H9" i="9"/>
  <c r="H9" i="8"/>
  <c r="H9" i="7"/>
  <c r="H9" i="6"/>
  <c r="H9" i="5"/>
  <c r="H9" i="2"/>
  <c r="H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<sst xmlns="http://schemas.openxmlformats.org/spreadsheetml/2006/main" count="314" uniqueCount="12">
  <si>
    <t>X</t>
    <phoneticPr fontId="1" type="noConversion"/>
  </si>
  <si>
    <t>Y</t>
    <phoneticPr fontId="1" type="noConversion"/>
  </si>
  <si>
    <t>Z</t>
    <phoneticPr fontId="1" type="noConversion"/>
  </si>
  <si>
    <t>X/16</t>
    <phoneticPr fontId="1" type="noConversion"/>
  </si>
  <si>
    <t>Y/16</t>
    <phoneticPr fontId="1" type="noConversion"/>
  </si>
  <si>
    <t>Z/16</t>
    <phoneticPr fontId="1" type="noConversion"/>
  </si>
  <si>
    <t>X,Y,Z</t>
    <phoneticPr fontId="1" type="noConversion"/>
  </si>
  <si>
    <t>P1</t>
    <phoneticPr fontId="1" type="noConversion"/>
  </si>
  <si>
    <t>P2</t>
    <phoneticPr fontId="1" type="noConversion"/>
  </si>
  <si>
    <t>P4</t>
    <phoneticPr fontId="1" type="noConversion"/>
  </si>
  <si>
    <t>P0</t>
    <phoneticPr fontId="1" type="noConversion"/>
  </si>
  <si>
    <t>P3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</si>
</sst>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EDC3A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8DBD5-C15C-4AAB-BFCD-F327BE588298}">
  <sheetPr codeName="Sheet1"/>
  <dimension ref="A1:P10"/>
  <sheetViews>
    <sheetView zoomScale="70" zoomScaleNormal="70" workbookViewId="0">
      <selection activeCell="O3" sqref="O3"/>
    </sheetView>
  </sheetViews>
  <sheetFormatPr defaultRowHeight="13.8" x14ac:dyDescent="0.25"/>
  <cols>
    <col min="8" max="8" width="31.33203125" customWidth="1"/>
    <col min="16" max="16" width="33.44140625" customWidth="1"/>
  </cols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</row>
    <row r="2" spans="1:16" x14ac:dyDescent="0.25">
      <c r="A2" t="s">
        <v>7</v>
      </c>
      <c r="B2" s="1">
        <v>10.5044</v>
      </c>
      <c r="C2" s="1">
        <v>33.380299999999998</v>
      </c>
      <c r="D2" s="1">
        <v>63.892000000000003</v>
      </c>
      <c r="E2">
        <f>B2/16</f>
        <v>0.65652500000000003</v>
      </c>
      <c r="F2">
        <f t="shared" ref="F2:G3" si="0">C2/16</f>
        <v>2.0862687499999999</v>
      </c>
      <c r="G2">
        <f t="shared" si="0"/>
        <v>3.9932500000000002</v>
      </c>
      <c r="H2" t="str" cm="1">
        <f t="array" ref="H2">_xlfn.TEXTJOIN(",",TRUE,TEXT(E2:G2,"0.0000"))</f>
        <v>0.6565,2.0863,3.9933</v>
      </c>
      <c r="I2" t="s">
        <v>9</v>
      </c>
      <c r="J2" s="1">
        <v>-10.4956</v>
      </c>
      <c r="K2" s="1">
        <v>33.380299999999998</v>
      </c>
      <c r="L2" s="1">
        <v>63.892000000000003</v>
      </c>
      <c r="M2">
        <f>J2/16</f>
        <v>-0.65597499999999997</v>
      </c>
      <c r="N2">
        <f>K2/16</f>
        <v>2.0862687499999999</v>
      </c>
      <c r="O2">
        <f>L2/16</f>
        <v>3.9932500000000002</v>
      </c>
      <c r="P2" t="str" cm="1">
        <f t="array" ref="P2">_xlfn.TEXTJOIN(",",TRUE,TEXT(M2:O2,"0.0000"))</f>
        <v>-0.6560,2.0863,3.9933</v>
      </c>
    </row>
    <row r="3" spans="1:16" x14ac:dyDescent="0.25">
      <c r="A3" t="s">
        <v>8</v>
      </c>
      <c r="B3" s="1">
        <v>10.5044</v>
      </c>
      <c r="C3" s="1">
        <v>30.380299999999998</v>
      </c>
      <c r="D3" s="1">
        <v>63.892000000000003</v>
      </c>
      <c r="E3">
        <f>B3/16</f>
        <v>0.65652500000000003</v>
      </c>
      <c r="F3">
        <f t="shared" si="0"/>
        <v>1.8987687499999999</v>
      </c>
      <c r="G3">
        <f t="shared" si="0"/>
        <v>3.9932500000000002</v>
      </c>
      <c r="H3" t="str" cm="1">
        <f t="array" ref="H3">_xlfn.TEXTJOIN(",",TRUE,TEXT(E3:G3,"0.0000"))</f>
        <v>0.6565,1.8988,3.9933</v>
      </c>
      <c r="I3" t="s">
        <v>11</v>
      </c>
      <c r="J3" s="1">
        <v>-10.4956</v>
      </c>
      <c r="K3" s="1">
        <v>30.380299999999998</v>
      </c>
      <c r="L3" s="1">
        <v>63.892000000000003</v>
      </c>
      <c r="M3">
        <f>J3/16</f>
        <v>-0.65597499999999997</v>
      </c>
      <c r="N3">
        <f t="shared" ref="N3:O3" si="1">K3/16</f>
        <v>1.8987687499999999</v>
      </c>
      <c r="O3">
        <f t="shared" si="1"/>
        <v>3.9932500000000002</v>
      </c>
      <c r="P3" t="str" cm="1">
        <f t="array" ref="P3">_xlfn.TEXTJOIN(",",TRUE,TEXT(M3:O3,"0.0000"))</f>
        <v>-0.6560,1.8988,3.9933</v>
      </c>
    </row>
    <row r="5" spans="1:16" x14ac:dyDescent="0.25">
      <c r="A5" t="s">
        <v>7</v>
      </c>
      <c r="B5" s="1">
        <v>-12.2165</v>
      </c>
      <c r="C5" s="1">
        <v>33.313499999999998</v>
      </c>
      <c r="D5" s="1">
        <v>-33</v>
      </c>
      <c r="E5">
        <f>B5/16</f>
        <v>-0.76353124999999999</v>
      </c>
      <c r="F5">
        <f t="shared" ref="F5:G6" si="2">C5/16</f>
        <v>2.0820937499999999</v>
      </c>
      <c r="G5">
        <f t="shared" si="2"/>
        <v>-2.0625</v>
      </c>
      <c r="H5" t="str" cm="1">
        <f t="array" ref="H5">_xlfn.TEXTJOIN(",",TRUE,TEXT(E5:G5,"0.0000"))</f>
        <v>-0.7635,2.0821,-2.0625</v>
      </c>
    </row>
    <row r="6" spans="1:16" x14ac:dyDescent="0.25">
      <c r="A6" t="s">
        <v>8</v>
      </c>
      <c r="B6" s="1">
        <v>-15.2165</v>
      </c>
      <c r="C6" s="1">
        <v>33.313499999999998</v>
      </c>
      <c r="D6" s="1">
        <v>-48</v>
      </c>
      <c r="E6">
        <f>B6/16</f>
        <v>-0.95103124999999999</v>
      </c>
      <c r="F6">
        <f t="shared" si="2"/>
        <v>2.0820937499999999</v>
      </c>
      <c r="G6">
        <f t="shared" si="2"/>
        <v>-3</v>
      </c>
      <c r="H6" t="str" cm="1">
        <f t="array" ref="H6">_xlfn.TEXTJOIN(",",TRUE,TEXT(E6:G6,"0.0000"))</f>
        <v>-0.9510,2.0821,-3.0000</v>
      </c>
    </row>
    <row r="8" spans="1:16" x14ac:dyDescent="0.25">
      <c r="A8" t="s">
        <v>10</v>
      </c>
      <c r="B8" s="1">
        <v>-13.7165</v>
      </c>
      <c r="C8" s="1">
        <v>33.3125</v>
      </c>
      <c r="D8" s="1">
        <v>-40.5</v>
      </c>
      <c r="E8">
        <f>B8/16</f>
        <v>-0.85728124999999999</v>
      </c>
      <c r="F8">
        <f t="shared" ref="F8:G8" si="3">C8/16</f>
        <v>2.08203125</v>
      </c>
      <c r="G8">
        <f t="shared" si="3"/>
        <v>-2.53125</v>
      </c>
      <c r="H8" t="str" cm="1">
        <f t="array" ref="H8">_xlfn.TEXTJOIN(",",TRUE,TEXT(E8:G8,"0.0000"))</f>
        <v>-0.8573,2.0820,-2.5313</v>
      </c>
    </row>
    <row r="9" spans="1:16" x14ac:dyDescent="0.25">
      <c r="H9" t="str">
        <f>"["&amp;H2&amp;"],["&amp;H3&amp;"],["&amp;P3&amp;"],["&amp;P2&amp;"]"</f>
        <v>[0.6565,2.0863,3.9933],[0.6565,1.8988,3.9933],[-0.6560,1.8988,3.9933],[-0.6560,2.0863,3.9933]</v>
      </c>
      <c r="J9" s="1"/>
    </row>
    <row r="10" spans="1:16" x14ac:dyDescent="0.25">
      <c r="J10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8D31-A21F-4B68-BA3B-A8C234F4F06C}">
  <sheetPr codeName="Sheet2"/>
  <dimension ref="A1:P13"/>
  <sheetViews>
    <sheetView workbookViewId="0">
      <selection activeCell="E23" sqref="A1:XFD1048576"/>
    </sheetView>
  </sheetViews>
  <sheetFormatPr defaultRowHeight="13.8" x14ac:dyDescent="0.25"/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</row>
    <row r="2" spans="1:16" x14ac:dyDescent="0.25">
      <c r="A2" t="s">
        <v>7</v>
      </c>
      <c r="B2" s="1">
        <f>$B$12</f>
        <v>6.1098999999999997</v>
      </c>
      <c r="C2" s="1">
        <f>$C$12</f>
        <v>33.890599999999999</v>
      </c>
      <c r="D2" s="1">
        <f>$D$12</f>
        <v>-1.4587000000000001</v>
      </c>
      <c r="E2">
        <f>B2/16</f>
        <v>0.38186874999999998</v>
      </c>
      <c r="F2">
        <f t="shared" ref="F2:G3" si="0">C2/16</f>
        <v>2.1181624999999999</v>
      </c>
      <c r="G2">
        <f t="shared" si="0"/>
        <v>-9.1168750000000007E-2</v>
      </c>
      <c r="H2" t="str" cm="1">
        <f t="array" ref="H2">_xlfn.TEXTJOIN(",",TRUE,TEXT(E2:G2,"0.0000"))</f>
        <v>0.3819,2.1182,-0.0912</v>
      </c>
      <c r="I2" t="s">
        <v>9</v>
      </c>
      <c r="J2" s="1">
        <f>$B$13</f>
        <v>-6.1098999999999997</v>
      </c>
      <c r="K2" s="1">
        <f>$C$12</f>
        <v>33.890599999999999</v>
      </c>
      <c r="L2" s="1">
        <f>$D$12</f>
        <v>-1.4587000000000001</v>
      </c>
      <c r="M2">
        <f>J2/16</f>
        <v>-0.38186874999999998</v>
      </c>
      <c r="N2">
        <f>K2/16</f>
        <v>2.1181624999999999</v>
      </c>
      <c r="O2">
        <f>L2/16</f>
        <v>-9.1168750000000007E-2</v>
      </c>
      <c r="P2" t="str" cm="1">
        <f t="array" ref="P2">_xlfn.TEXTJOIN(",",TRUE,TEXT(M2:O2,"0.0000"))</f>
        <v>-0.3819,2.1182,-0.0912</v>
      </c>
    </row>
    <row r="3" spans="1:16" x14ac:dyDescent="0.25">
      <c r="A3" t="s">
        <v>8</v>
      </c>
      <c r="B3" s="1">
        <f>$B$12</f>
        <v>6.1098999999999997</v>
      </c>
      <c r="C3" s="1">
        <f>$C$13</f>
        <v>32.413400000000003</v>
      </c>
      <c r="D3" s="1">
        <f>$D$13</f>
        <v>-1.1982999999999999</v>
      </c>
      <c r="E3">
        <f>B3/16</f>
        <v>0.38186874999999998</v>
      </c>
      <c r="F3">
        <f t="shared" si="0"/>
        <v>2.0258375000000002</v>
      </c>
      <c r="G3">
        <f t="shared" si="0"/>
        <v>-7.4893749999999995E-2</v>
      </c>
      <c r="H3" t="str" cm="1">
        <f t="array" ref="H3">_xlfn.TEXTJOIN(",",TRUE,TEXT(E3:G3,"0.0000"))</f>
        <v>0.3819,2.0258,-0.0749</v>
      </c>
      <c r="I3" t="s">
        <v>11</v>
      </c>
      <c r="J3" s="1">
        <f>$B$13</f>
        <v>-6.1098999999999997</v>
      </c>
      <c r="K3" s="1">
        <f>$C$13</f>
        <v>32.413400000000003</v>
      </c>
      <c r="L3" s="1">
        <f>$D$13</f>
        <v>-1.1982999999999999</v>
      </c>
      <c r="M3">
        <f>J3/16</f>
        <v>-0.38186874999999998</v>
      </c>
      <c r="N3">
        <f t="shared" ref="N3:O3" si="1">K3/16</f>
        <v>2.0258375000000002</v>
      </c>
      <c r="O3">
        <f t="shared" si="1"/>
        <v>-7.4893749999999995E-2</v>
      </c>
      <c r="P3" t="str" cm="1">
        <f t="array" ref="P3">_xlfn.TEXTJOIN(",",TRUE,TEXT(M3:O3,"0.0000"))</f>
        <v>-0.3819,2.0258,-0.0749</v>
      </c>
    </row>
    <row r="5" spans="1:16" x14ac:dyDescent="0.25">
      <c r="A5" t="s">
        <v>7</v>
      </c>
      <c r="B5" s="1">
        <v>-12.2165</v>
      </c>
      <c r="C5" s="1">
        <v>33.313499999999998</v>
      </c>
      <c r="D5" s="1">
        <v>-33</v>
      </c>
      <c r="E5">
        <f>B5/16</f>
        <v>-0.76353124999999999</v>
      </c>
      <c r="F5">
        <f t="shared" ref="F5:G6" si="2">C5/16</f>
        <v>2.0820937499999999</v>
      </c>
      <c r="G5">
        <f t="shared" si="2"/>
        <v>-2.0625</v>
      </c>
      <c r="H5" t="str" cm="1">
        <f t="array" ref="H5">_xlfn.TEXTJOIN(",",TRUE,TEXT(E5:G5,"0.0000"))</f>
        <v>-0.7635,2.0821,-2.0625</v>
      </c>
    </row>
    <row r="6" spans="1:16" x14ac:dyDescent="0.25">
      <c r="A6" t="s">
        <v>8</v>
      </c>
      <c r="B6" s="1">
        <v>-15.2165</v>
      </c>
      <c r="C6" s="1">
        <v>33.313499999999998</v>
      </c>
      <c r="D6" s="1">
        <v>-48</v>
      </c>
      <c r="E6">
        <f>B6/16</f>
        <v>-0.95103124999999999</v>
      </c>
      <c r="F6">
        <f t="shared" si="2"/>
        <v>2.0820937499999999</v>
      </c>
      <c r="G6">
        <f t="shared" si="2"/>
        <v>-3</v>
      </c>
      <c r="H6" t="str" cm="1">
        <f t="array" ref="H6">_xlfn.TEXTJOIN(",",TRUE,TEXT(E6:G6,"0.0000"))</f>
        <v>-0.9510,2.0821,-3.0000</v>
      </c>
    </row>
    <row r="8" spans="1:16" x14ac:dyDescent="0.25">
      <c r="A8" t="s">
        <v>10</v>
      </c>
      <c r="B8" s="1">
        <v>-13.7165</v>
      </c>
      <c r="C8" s="1">
        <v>33.3125</v>
      </c>
      <c r="D8" s="1">
        <v>-40.5</v>
      </c>
      <c r="E8">
        <f>B8/16</f>
        <v>-0.85728124999999999</v>
      </c>
      <c r="F8">
        <f t="shared" ref="F8:G8" si="3">C8/16</f>
        <v>2.08203125</v>
      </c>
      <c r="G8">
        <f t="shared" si="3"/>
        <v>-2.53125</v>
      </c>
      <c r="H8" t="str" cm="1">
        <f t="array" ref="H8">_xlfn.TEXTJOIN(",",TRUE,TEXT(E8:G8,"0.0000"))</f>
        <v>-0.8573,2.0820,-2.5313</v>
      </c>
    </row>
    <row r="9" spans="1:16" x14ac:dyDescent="0.25">
      <c r="H9" t="str">
        <f>"["&amp;H2&amp;"],["&amp;H3&amp;"],["&amp;P3&amp;"],["&amp;P2&amp;"]"</f>
        <v>[0.3819,2.1182,-0.0912],[0.3819,2.0258,-0.0749],[-0.3819,2.0258,-0.0749],[-0.3819,2.1182,-0.0912]</v>
      </c>
      <c r="J9" s="1"/>
    </row>
    <row r="10" spans="1:16" x14ac:dyDescent="0.25">
      <c r="J10" s="1"/>
    </row>
    <row r="12" spans="1:16" x14ac:dyDescent="0.25">
      <c r="A12" t="s">
        <v>7</v>
      </c>
      <c r="B12" s="1">
        <v>6.1098999999999997</v>
      </c>
      <c r="C12" s="1">
        <v>33.890599999999999</v>
      </c>
      <c r="D12" s="1">
        <v>-1.4587000000000001</v>
      </c>
    </row>
    <row r="13" spans="1:16" x14ac:dyDescent="0.25">
      <c r="A13" t="s">
        <v>11</v>
      </c>
      <c r="B13" s="1">
        <v>-6.1098999999999997</v>
      </c>
      <c r="C13" s="1">
        <v>32.413400000000003</v>
      </c>
      <c r="D13" s="1">
        <v>-1.1982999999999999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BB62A-75B2-474F-B725-4C6374815C19}">
  <sheetPr codeName="Sheet3"/>
  <dimension ref="A1:P10"/>
  <sheetViews>
    <sheetView topLeftCell="B1" zoomScale="70" zoomScaleNormal="70" workbookViewId="0">
      <selection activeCell="H9" sqref="H9"/>
    </sheetView>
  </sheetViews>
  <sheetFormatPr defaultRowHeight="13.8" x14ac:dyDescent="0.25"/>
  <cols>
    <col min="8" max="8" width="31.33203125" customWidth="1"/>
    <col min="16" max="16" width="33.44140625" customWidth="1"/>
  </cols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</row>
    <row r="2" spans="1:16" x14ac:dyDescent="0.25">
      <c r="A2" t="s">
        <v>7</v>
      </c>
      <c r="B2" s="1">
        <v>-22.1</v>
      </c>
      <c r="C2" s="1">
        <v>26.524999999999999</v>
      </c>
      <c r="D2" s="1">
        <v>-10.6</v>
      </c>
      <c r="E2">
        <f>B2/16</f>
        <v>-1.3812500000000001</v>
      </c>
      <c r="F2">
        <f t="shared" ref="F2:G3" si="0">C2/16</f>
        <v>1.6578124999999999</v>
      </c>
      <c r="G2">
        <f t="shared" si="0"/>
        <v>-0.66249999999999998</v>
      </c>
      <c r="H2" t="str" cm="1">
        <f t="array" ref="H2">_xlfn.TEXTJOIN(",",TRUE,TEXT(E2:G2,"0.0000"))</f>
        <v>-1.3813,1.6578,-0.6625</v>
      </c>
      <c r="I2" t="s">
        <v>9</v>
      </c>
      <c r="J2" s="1">
        <v>-22.1</v>
      </c>
      <c r="K2" s="1">
        <v>26.524999999999999</v>
      </c>
      <c r="L2" s="1">
        <v>10.4</v>
      </c>
      <c r="M2">
        <f>J2/16</f>
        <v>-1.3812500000000001</v>
      </c>
      <c r="N2">
        <f>K2/16</f>
        <v>1.6578124999999999</v>
      </c>
      <c r="O2">
        <f>L2/16</f>
        <v>0.65</v>
      </c>
      <c r="P2" t="str" cm="1">
        <f t="array" ref="P2">_xlfn.TEXTJOIN(",",TRUE,TEXT(M2:O2,"0.0000"))</f>
        <v>-1.3813,1.6578,0.6500</v>
      </c>
    </row>
    <row r="3" spans="1:16" x14ac:dyDescent="0.25">
      <c r="A3" t="s">
        <v>8</v>
      </c>
      <c r="B3" s="1">
        <v>-22.1</v>
      </c>
      <c r="C3" s="1">
        <v>24.524999999999999</v>
      </c>
      <c r="D3" s="1">
        <v>-10.6</v>
      </c>
      <c r="E3">
        <f>B3/16</f>
        <v>-1.3812500000000001</v>
      </c>
      <c r="F3">
        <f t="shared" si="0"/>
        <v>1.5328124999999999</v>
      </c>
      <c r="G3">
        <f t="shared" si="0"/>
        <v>-0.66249999999999998</v>
      </c>
      <c r="H3" t="str" cm="1">
        <f t="array" ref="H3">_xlfn.TEXTJOIN(",",TRUE,TEXT(E3:G3,"0.0000"))</f>
        <v>-1.3813,1.5328,-0.6625</v>
      </c>
      <c r="I3" t="s">
        <v>11</v>
      </c>
      <c r="J3" s="1">
        <v>-22.1</v>
      </c>
      <c r="K3" s="1">
        <v>24.524999999999999</v>
      </c>
      <c r="L3" s="1">
        <v>10.4</v>
      </c>
      <c r="M3">
        <f>J3/16</f>
        <v>-1.3812500000000001</v>
      </c>
      <c r="N3">
        <f t="shared" ref="N3:O3" si="1">K3/16</f>
        <v>1.5328124999999999</v>
      </c>
      <c r="O3">
        <f t="shared" si="1"/>
        <v>0.65</v>
      </c>
      <c r="P3" t="str" cm="1">
        <f t="array" ref="P3">_xlfn.TEXTJOIN(",",TRUE,TEXT(M3:O3,"0.0000"))</f>
        <v>-1.3813,1.5328,0.6500</v>
      </c>
    </row>
    <row r="5" spans="1:16" x14ac:dyDescent="0.25">
      <c r="A5" t="s">
        <v>7</v>
      </c>
      <c r="B5" s="1">
        <v>-12.2165</v>
      </c>
      <c r="C5" s="1">
        <v>33.313499999999998</v>
      </c>
      <c r="D5" s="1">
        <v>-33</v>
      </c>
      <c r="E5">
        <f>B5/16</f>
        <v>-0.76353124999999999</v>
      </c>
      <c r="F5">
        <f t="shared" ref="F5:G6" si="2">C5/16</f>
        <v>2.0820937499999999</v>
      </c>
      <c r="G5">
        <f t="shared" si="2"/>
        <v>-2.0625</v>
      </c>
      <c r="H5" t="str" cm="1">
        <f t="array" ref="H5">_xlfn.TEXTJOIN(",",TRUE,TEXT(E5:G5,"0.0000"))</f>
        <v>-0.7635,2.0821,-2.0625</v>
      </c>
    </row>
    <row r="6" spans="1:16" x14ac:dyDescent="0.25">
      <c r="A6" t="s">
        <v>8</v>
      </c>
      <c r="B6" s="1">
        <v>-15.2165</v>
      </c>
      <c r="C6" s="1">
        <v>33.313499999999998</v>
      </c>
      <c r="D6" s="1">
        <v>-48</v>
      </c>
      <c r="E6">
        <f>B6/16</f>
        <v>-0.95103124999999999</v>
      </c>
      <c r="F6">
        <f t="shared" si="2"/>
        <v>2.0820937499999999</v>
      </c>
      <c r="G6">
        <f t="shared" si="2"/>
        <v>-3</v>
      </c>
      <c r="H6" t="str" cm="1">
        <f t="array" ref="H6">_xlfn.TEXTJOIN(",",TRUE,TEXT(E6:G6,"0.0000"))</f>
        <v>-0.9510,2.0821,-3.0000</v>
      </c>
    </row>
    <row r="8" spans="1:16" x14ac:dyDescent="0.25">
      <c r="A8" t="s">
        <v>10</v>
      </c>
      <c r="B8" s="1">
        <v>-13.7165</v>
      </c>
      <c r="C8" s="1">
        <v>33.3125</v>
      </c>
      <c r="D8" s="1">
        <v>-40.5</v>
      </c>
      <c r="E8">
        <f>B8/16</f>
        <v>-0.85728124999999999</v>
      </c>
      <c r="F8">
        <f t="shared" ref="F8:G8" si="3">C8/16</f>
        <v>2.08203125</v>
      </c>
      <c r="G8">
        <f t="shared" si="3"/>
        <v>-2.53125</v>
      </c>
      <c r="H8" t="str" cm="1">
        <f t="array" ref="H8">_xlfn.TEXTJOIN(",",TRUE,TEXT(E8:G8,"0.0000"))</f>
        <v>-0.8573,2.0820,-2.5313</v>
      </c>
    </row>
    <row r="9" spans="1:16" x14ac:dyDescent="0.25">
      <c r="H9" t="str">
        <f>"["&amp;H2&amp;"],["&amp;H3&amp;"],["&amp;P3&amp;"],["&amp;P2&amp;"]"</f>
        <v>[-1.3813,1.6578,-0.6625],[-1.3813,1.5328,-0.6625],[-1.3813,1.5328,0.6500],[-1.3813,1.6578,0.6500]</v>
      </c>
      <c r="J9" s="1"/>
    </row>
    <row r="10" spans="1:16" x14ac:dyDescent="0.25">
      <c r="J10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1D2A-4F8E-4410-8214-7F8F4F1F2A89}">
  <sheetPr codeName="Sheet4"/>
  <dimension ref="A1:P13"/>
  <sheetViews>
    <sheetView workbookViewId="0">
      <selection activeCell="B13" sqref="B13"/>
    </sheetView>
  </sheetViews>
  <sheetFormatPr defaultRowHeight="13.8" x14ac:dyDescent="0.25"/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</row>
    <row r="2" spans="1:16" x14ac:dyDescent="0.25">
      <c r="A2" t="s">
        <v>7</v>
      </c>
      <c r="B2" s="1">
        <f>$B$12</f>
        <v>-6.1098999999999997</v>
      </c>
      <c r="C2" s="1">
        <f>$C$12</f>
        <v>33.890599999999999</v>
      </c>
      <c r="D2" s="1">
        <f>$D$12</f>
        <v>1.4597</v>
      </c>
      <c r="E2">
        <f>B2/16</f>
        <v>-0.38186874999999998</v>
      </c>
      <c r="F2">
        <f t="shared" ref="F2:G3" si="0">C2/16</f>
        <v>2.1181624999999999</v>
      </c>
      <c r="G2">
        <f t="shared" si="0"/>
        <v>9.123125E-2</v>
      </c>
      <c r="H2" t="str" cm="1">
        <f t="array" ref="H2">_xlfn.TEXTJOIN(",",TRUE,TEXT(E2:G2,"0.0000"))</f>
        <v>-0.3819,2.1182,0.0912</v>
      </c>
      <c r="I2" t="s">
        <v>9</v>
      </c>
      <c r="J2" s="1">
        <f>$B$13</f>
        <v>6.1098999999999997</v>
      </c>
      <c r="K2" s="1">
        <f>$C$12</f>
        <v>33.890599999999999</v>
      </c>
      <c r="L2" s="1">
        <f>$D$12</f>
        <v>1.4597</v>
      </c>
      <c r="M2">
        <f>J2/16</f>
        <v>0.38186874999999998</v>
      </c>
      <c r="N2">
        <f>K2/16</f>
        <v>2.1181624999999999</v>
      </c>
      <c r="O2">
        <f>L2/16</f>
        <v>9.123125E-2</v>
      </c>
      <c r="P2" t="str" cm="1">
        <f t="array" ref="P2">_xlfn.TEXTJOIN(",",TRUE,TEXT(M2:O2,"0.0000"))</f>
        <v>0.3819,2.1182,0.0912</v>
      </c>
    </row>
    <row r="3" spans="1:16" x14ac:dyDescent="0.25">
      <c r="A3" t="s">
        <v>8</v>
      </c>
      <c r="B3" s="1">
        <f>$B$12</f>
        <v>-6.1098999999999997</v>
      </c>
      <c r="C3" s="1">
        <f>$C$13</f>
        <v>32.413400000000003</v>
      </c>
      <c r="D3" s="1">
        <f>$D$13</f>
        <v>1.1993</v>
      </c>
      <c r="E3">
        <f>B3/16</f>
        <v>-0.38186874999999998</v>
      </c>
      <c r="F3">
        <f t="shared" si="0"/>
        <v>2.0258375000000002</v>
      </c>
      <c r="G3">
        <f t="shared" si="0"/>
        <v>7.4956250000000002E-2</v>
      </c>
      <c r="H3" t="str" cm="1">
        <f t="array" ref="H3">_xlfn.TEXTJOIN(",",TRUE,TEXT(E3:G3,"0.0000"))</f>
        <v>-0.3819,2.0258,0.0750</v>
      </c>
      <c r="I3" t="s">
        <v>11</v>
      </c>
      <c r="J3" s="1">
        <f>$B$13</f>
        <v>6.1098999999999997</v>
      </c>
      <c r="K3" s="1">
        <f>$C$13</f>
        <v>32.413400000000003</v>
      </c>
      <c r="L3" s="1">
        <f>$D$13</f>
        <v>1.1993</v>
      </c>
      <c r="M3">
        <f>J3/16</f>
        <v>0.38186874999999998</v>
      </c>
      <c r="N3">
        <f t="shared" ref="N3:O3" si="1">K3/16</f>
        <v>2.0258375000000002</v>
      </c>
      <c r="O3">
        <f t="shared" si="1"/>
        <v>7.4956250000000002E-2</v>
      </c>
      <c r="P3" t="str" cm="1">
        <f t="array" ref="P3">_xlfn.TEXTJOIN(",",TRUE,TEXT(M3:O3,"0.0000"))</f>
        <v>0.3819,2.0258,0.0750</v>
      </c>
    </row>
    <row r="5" spans="1:16" x14ac:dyDescent="0.25">
      <c r="A5" t="s">
        <v>7</v>
      </c>
      <c r="B5" s="1">
        <v>-12.2165</v>
      </c>
      <c r="C5" s="1">
        <v>33.313499999999998</v>
      </c>
      <c r="D5" s="1">
        <v>-33</v>
      </c>
      <c r="E5">
        <f>B5/16</f>
        <v>-0.76353124999999999</v>
      </c>
      <c r="F5">
        <f t="shared" ref="F5:G6" si="2">C5/16</f>
        <v>2.0820937499999999</v>
      </c>
      <c r="G5">
        <f t="shared" si="2"/>
        <v>-2.0625</v>
      </c>
      <c r="H5" t="str" cm="1">
        <f t="array" ref="H5">_xlfn.TEXTJOIN(",",TRUE,TEXT(E5:G5,"0.0000"))</f>
        <v>-0.7635,2.0821,-2.0625</v>
      </c>
    </row>
    <row r="6" spans="1:16" x14ac:dyDescent="0.25">
      <c r="A6" t="s">
        <v>8</v>
      </c>
      <c r="B6" s="1">
        <v>-15.2165</v>
      </c>
      <c r="C6" s="1">
        <v>33.313499999999998</v>
      </c>
      <c r="D6" s="1">
        <v>-48</v>
      </c>
      <c r="E6">
        <f>B6/16</f>
        <v>-0.95103124999999999</v>
      </c>
      <c r="F6">
        <f t="shared" si="2"/>
        <v>2.0820937499999999</v>
      </c>
      <c r="G6">
        <f t="shared" si="2"/>
        <v>-3</v>
      </c>
      <c r="H6" t="str" cm="1">
        <f t="array" ref="H6">_xlfn.TEXTJOIN(",",TRUE,TEXT(E6:G6,"0.0000"))</f>
        <v>-0.9510,2.0821,-3.0000</v>
      </c>
    </row>
    <row r="8" spans="1:16" x14ac:dyDescent="0.25">
      <c r="A8" t="s">
        <v>10</v>
      </c>
      <c r="B8" s="1">
        <v>-13.7165</v>
      </c>
      <c r="C8" s="1">
        <v>33.3125</v>
      </c>
      <c r="D8" s="1">
        <v>-40.5</v>
      </c>
      <c r="E8">
        <f>B8/16</f>
        <v>-0.85728124999999999</v>
      </c>
      <c r="F8">
        <f t="shared" ref="F8:G8" si="3">C8/16</f>
        <v>2.08203125</v>
      </c>
      <c r="G8">
        <f t="shared" si="3"/>
        <v>-2.53125</v>
      </c>
      <c r="H8" t="str" cm="1">
        <f t="array" ref="H8">_xlfn.TEXTJOIN(",",TRUE,TEXT(E8:G8,"0.0000"))</f>
        <v>-0.8573,2.0820,-2.5313</v>
      </c>
    </row>
    <row r="9" spans="1:16" x14ac:dyDescent="0.25">
      <c r="H9" t="str">
        <f>"["&amp;H2&amp;"],["&amp;H3&amp;"],["&amp;P3&amp;"],["&amp;P2&amp;"]"</f>
        <v>[-0.3819,2.1182,0.0912],[-0.3819,2.0258,0.0750],[0.3819,2.0258,0.0750],[0.3819,2.1182,0.0912]</v>
      </c>
      <c r="J9" s="1"/>
    </row>
    <row r="10" spans="1:16" x14ac:dyDescent="0.25">
      <c r="J10" s="1"/>
    </row>
    <row r="12" spans="1:16" x14ac:dyDescent="0.25">
      <c r="A12" t="s">
        <v>7</v>
      </c>
      <c r="B12" s="1">
        <v>-6.1098999999999997</v>
      </c>
      <c r="C12" s="1">
        <v>33.890599999999999</v>
      </c>
      <c r="D12" s="1">
        <v>1.4597</v>
      </c>
    </row>
    <row r="13" spans="1:16" x14ac:dyDescent="0.25">
      <c r="A13" t="s">
        <v>11</v>
      </c>
      <c r="B13" s="1">
        <v>6.1098999999999997</v>
      </c>
      <c r="C13" s="1">
        <v>32.413400000000003</v>
      </c>
      <c r="D13" s="1">
        <v>1.1993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C57DB-857A-4085-B1F2-0C676E639AA6}">
  <sheetPr codeName="Sheet5"/>
  <dimension ref="A1:P10"/>
  <sheetViews>
    <sheetView zoomScale="70" zoomScaleNormal="70" workbookViewId="0">
      <selection sqref="A1:P10"/>
    </sheetView>
  </sheetViews>
  <sheetFormatPr defaultRowHeight="13.8" x14ac:dyDescent="0.25"/>
  <cols>
    <col min="8" max="8" width="31.33203125" customWidth="1"/>
    <col min="16" max="16" width="33.44140625" customWidth="1"/>
  </cols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</row>
    <row r="2" spans="1:16" x14ac:dyDescent="0.25">
      <c r="A2" t="s">
        <v>7</v>
      </c>
      <c r="B2" s="1">
        <v>17.427199999999999</v>
      </c>
      <c r="C2" s="1">
        <v>32.959299999999999</v>
      </c>
      <c r="D2" s="1">
        <v>-8.5</v>
      </c>
      <c r="E2">
        <f>B2/16</f>
        <v>1.0891999999999999</v>
      </c>
      <c r="F2">
        <f t="shared" ref="F2:G2" si="0">C2/16</f>
        <v>2.0599562499999999</v>
      </c>
      <c r="G2">
        <f t="shared" si="0"/>
        <v>-0.53125</v>
      </c>
      <c r="H2" t="str" cm="1">
        <f t="array" ref="H2">_xlfn.TEXTJOIN(",",TRUE,TEXT(E2:G2,"0.0000"))</f>
        <v>1.0892,2.0600,-0.5313</v>
      </c>
      <c r="I2" t="s">
        <v>9</v>
      </c>
      <c r="J2" s="1">
        <v>17.427199999999999</v>
      </c>
      <c r="K2" s="1">
        <v>32.959299999999999</v>
      </c>
      <c r="L2" s="1">
        <v>9.5</v>
      </c>
      <c r="M2">
        <f>J2/16</f>
        <v>1.0891999999999999</v>
      </c>
      <c r="N2">
        <f>K2/16</f>
        <v>2.0599562499999999</v>
      </c>
      <c r="O2">
        <f>L2/16</f>
        <v>0.59375</v>
      </c>
      <c r="P2" t="str" cm="1">
        <f t="array" ref="P2">_xlfn.TEXTJOIN(",",TRUE,TEXT(M2:O2,"0.0000"))</f>
        <v>1.0892,2.0600,0.5938</v>
      </c>
    </row>
    <row r="3" spans="1:16" x14ac:dyDescent="0.25">
      <c r="A3" t="s">
        <v>8</v>
      </c>
      <c r="B3" s="1">
        <v>17.8188</v>
      </c>
      <c r="C3" s="1">
        <v>29.9849</v>
      </c>
      <c r="D3" s="1">
        <v>-8.5</v>
      </c>
      <c r="E3">
        <f>B3/16</f>
        <v>1.113675</v>
      </c>
      <c r="F3">
        <f t="shared" ref="F3" si="1">C3/16</f>
        <v>1.87405625</v>
      </c>
      <c r="G3">
        <f t="shared" ref="G3" si="2">D3/16</f>
        <v>-0.53125</v>
      </c>
      <c r="H3" t="str" cm="1">
        <f t="array" ref="H3">_xlfn.TEXTJOIN(",",TRUE,TEXT(E3:G3,"0.0000"))</f>
        <v>1.1137,1.8741,-0.5313</v>
      </c>
      <c r="I3" t="s">
        <v>11</v>
      </c>
      <c r="J3" s="1">
        <v>17.8188</v>
      </c>
      <c r="K3" s="1">
        <v>29.9849</v>
      </c>
      <c r="L3" s="1">
        <v>9.5</v>
      </c>
      <c r="M3">
        <f>J3/16</f>
        <v>1.113675</v>
      </c>
      <c r="N3">
        <f t="shared" ref="N3" si="3">K3/16</f>
        <v>1.87405625</v>
      </c>
      <c r="O3">
        <f t="shared" ref="O3" si="4">L3/16</f>
        <v>0.59375</v>
      </c>
      <c r="P3" t="str" cm="1">
        <f t="array" ref="P3">_xlfn.TEXTJOIN(",",TRUE,TEXT(M3:O3,"0.0000"))</f>
        <v>1.1137,1.8741,0.5938</v>
      </c>
    </row>
    <row r="5" spans="1:16" x14ac:dyDescent="0.25">
      <c r="A5" t="s">
        <v>7</v>
      </c>
      <c r="B5" s="1">
        <v>-12.2165</v>
      </c>
      <c r="C5" s="1">
        <v>33.313499999999998</v>
      </c>
      <c r="D5" s="1">
        <v>-33</v>
      </c>
      <c r="E5">
        <f>B5/16</f>
        <v>-0.76353124999999999</v>
      </c>
      <c r="F5">
        <f t="shared" ref="F5:F6" si="5">C5/16</f>
        <v>2.0820937499999999</v>
      </c>
      <c r="G5">
        <f t="shared" ref="G5:G6" si="6">D5/16</f>
        <v>-2.0625</v>
      </c>
      <c r="H5" t="str" cm="1">
        <f t="array" ref="H5">_xlfn.TEXTJOIN(",",TRUE,TEXT(E5:G5,"0.0000"))</f>
        <v>-0.7635,2.0821,-2.0625</v>
      </c>
    </row>
    <row r="6" spans="1:16" x14ac:dyDescent="0.25">
      <c r="A6" t="s">
        <v>8</v>
      </c>
      <c r="B6" s="1">
        <v>-15.2165</v>
      </c>
      <c r="C6" s="1">
        <v>33.313499999999998</v>
      </c>
      <c r="D6" s="1">
        <v>-48</v>
      </c>
      <c r="E6">
        <f>B6/16</f>
        <v>-0.95103124999999999</v>
      </c>
      <c r="F6">
        <f t="shared" si="5"/>
        <v>2.0820937499999999</v>
      </c>
      <c r="G6">
        <f t="shared" si="6"/>
        <v>-3</v>
      </c>
      <c r="H6" t="str" cm="1">
        <f t="array" ref="H6">_xlfn.TEXTJOIN(",",TRUE,TEXT(E6:G6,"0.0000"))</f>
        <v>-0.9510,2.0821,-3.0000</v>
      </c>
    </row>
    <row r="8" spans="1:16" x14ac:dyDescent="0.25">
      <c r="A8" t="s">
        <v>10</v>
      </c>
      <c r="B8" s="1">
        <v>-13.7165</v>
      </c>
      <c r="C8" s="1">
        <v>33.3125</v>
      </c>
      <c r="D8" s="1">
        <v>-40.5</v>
      </c>
      <c r="E8">
        <f>B8/16</f>
        <v>-0.85728124999999999</v>
      </c>
      <c r="F8">
        <f t="shared" ref="F8" si="7">C8/16</f>
        <v>2.08203125</v>
      </c>
      <c r="G8">
        <f t="shared" ref="G8" si="8">D8/16</f>
        <v>-2.53125</v>
      </c>
      <c r="H8" t="str" cm="1">
        <f t="array" ref="H8">_xlfn.TEXTJOIN(",",TRUE,TEXT(E8:G8,"0.0000"))</f>
        <v>-0.8573,2.0820,-2.5313</v>
      </c>
    </row>
    <row r="9" spans="1:16" x14ac:dyDescent="0.25">
      <c r="H9" t="str">
        <f>"["&amp;H2&amp;"],["&amp;H3&amp;"],["&amp;P3&amp;"],["&amp;P2&amp;"]"</f>
        <v>[1.0892,2.0600,-0.5313],[1.1137,1.8741,-0.5313],[1.1137,1.8741,0.5938],[1.0892,2.0600,0.5938]</v>
      </c>
      <c r="J9" s="1"/>
    </row>
    <row r="10" spans="1:16" x14ac:dyDescent="0.25">
      <c r="J10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771CF-2715-49F0-B8AC-CF27F69475F4}">
  <sheetPr codeName="Sheet6"/>
  <dimension ref="A1:P13"/>
  <sheetViews>
    <sheetView workbookViewId="0">
      <selection activeCell="H9" sqref="H9"/>
    </sheetView>
  </sheetViews>
  <sheetFormatPr defaultRowHeight="13.8" x14ac:dyDescent="0.25"/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</row>
    <row r="2" spans="1:16" x14ac:dyDescent="0.25">
      <c r="A2" t="s">
        <v>7</v>
      </c>
      <c r="B2" s="1">
        <f>$B$12</f>
        <v>13.882899999999999</v>
      </c>
      <c r="C2" s="1">
        <f>$C$12</f>
        <v>26.9358</v>
      </c>
      <c r="D2" s="1">
        <f>$D$12</f>
        <v>-13</v>
      </c>
      <c r="E2">
        <f>B2/16</f>
        <v>0.86768124999999996</v>
      </c>
      <c r="F2">
        <f t="shared" ref="F2:G3" si="0">C2/16</f>
        <v>1.6834875</v>
      </c>
      <c r="G2">
        <f t="shared" si="0"/>
        <v>-0.8125</v>
      </c>
      <c r="H2" t="str" cm="1">
        <f t="array" ref="H2">_xlfn.TEXTJOIN(",",TRUE,TEXT(E2:G2,"0.0000"))</f>
        <v>0.8677,1.6835,-0.8125</v>
      </c>
      <c r="I2" t="s">
        <v>9</v>
      </c>
      <c r="J2" s="1">
        <f>$B$12</f>
        <v>13.882899999999999</v>
      </c>
      <c r="K2" s="1">
        <f>$C$12</f>
        <v>26.9358</v>
      </c>
      <c r="L2" s="1">
        <f>$D$13</f>
        <v>13</v>
      </c>
      <c r="M2">
        <f>J2/16</f>
        <v>0.86768124999999996</v>
      </c>
      <c r="N2">
        <f>K2/16</f>
        <v>1.6834875</v>
      </c>
      <c r="O2">
        <f>L2/16</f>
        <v>0.8125</v>
      </c>
      <c r="P2" t="str" cm="1">
        <f t="array" ref="P2">_xlfn.TEXTJOIN(",",TRUE,TEXT(M2:O2,"0.0000"))</f>
        <v>0.8677,1.6835,0.8125</v>
      </c>
    </row>
    <row r="3" spans="1:16" x14ac:dyDescent="0.25">
      <c r="A3" t="s">
        <v>8</v>
      </c>
      <c r="B3" s="1">
        <f>$B$13</f>
        <v>15.5733</v>
      </c>
      <c r="C3" s="1">
        <f>$C$13</f>
        <v>23.310600000000001</v>
      </c>
      <c r="D3" s="1">
        <f>$D$12</f>
        <v>-13</v>
      </c>
      <c r="E3">
        <f>B3/16</f>
        <v>0.97333124999999998</v>
      </c>
      <c r="F3">
        <f t="shared" si="0"/>
        <v>1.4569125000000001</v>
      </c>
      <c r="G3">
        <f t="shared" si="0"/>
        <v>-0.8125</v>
      </c>
      <c r="H3" t="str" cm="1">
        <f t="array" ref="H3">_xlfn.TEXTJOIN(",",TRUE,TEXT(E3:G3,"0.0000"))</f>
        <v>0.9733,1.4569,-0.8125</v>
      </c>
      <c r="I3" t="s">
        <v>11</v>
      </c>
      <c r="J3" s="1">
        <f>$B$13</f>
        <v>15.5733</v>
      </c>
      <c r="K3" s="1">
        <f>$C$13</f>
        <v>23.310600000000001</v>
      </c>
      <c r="L3" s="1">
        <f>$D$13</f>
        <v>13</v>
      </c>
      <c r="M3">
        <f>J3/16</f>
        <v>0.97333124999999998</v>
      </c>
      <c r="N3">
        <f t="shared" ref="N3:O3" si="1">K3/16</f>
        <v>1.4569125000000001</v>
      </c>
      <c r="O3">
        <f t="shared" si="1"/>
        <v>0.8125</v>
      </c>
      <c r="P3" t="str" cm="1">
        <f t="array" ref="P3">_xlfn.TEXTJOIN(",",TRUE,TEXT(M3:O3,"0.0000"))</f>
        <v>0.9733,1.4569,0.8125</v>
      </c>
    </row>
    <row r="5" spans="1:16" x14ac:dyDescent="0.25">
      <c r="A5" t="s">
        <v>7</v>
      </c>
      <c r="B5" s="1">
        <v>-12.2165</v>
      </c>
      <c r="C5" s="1">
        <v>33.313499999999998</v>
      </c>
      <c r="D5" s="1">
        <v>-33</v>
      </c>
      <c r="E5">
        <f>B5/16</f>
        <v>-0.76353124999999999</v>
      </c>
      <c r="F5">
        <f t="shared" ref="F5:G6" si="2">C5/16</f>
        <v>2.0820937499999999</v>
      </c>
      <c r="G5">
        <f t="shared" si="2"/>
        <v>-2.0625</v>
      </c>
      <c r="H5" t="str" cm="1">
        <f t="array" ref="H5">_xlfn.TEXTJOIN(",",TRUE,TEXT(E5:G5,"0.0000"))</f>
        <v>-0.7635,2.0821,-2.0625</v>
      </c>
    </row>
    <row r="6" spans="1:16" x14ac:dyDescent="0.25">
      <c r="A6" t="s">
        <v>8</v>
      </c>
      <c r="B6" s="1">
        <v>-15.2165</v>
      </c>
      <c r="C6" s="1">
        <v>33.313499999999998</v>
      </c>
      <c r="D6" s="1">
        <v>-48</v>
      </c>
      <c r="E6">
        <f>B6/16</f>
        <v>-0.95103124999999999</v>
      </c>
      <c r="F6">
        <f t="shared" si="2"/>
        <v>2.0820937499999999</v>
      </c>
      <c r="G6">
        <f t="shared" si="2"/>
        <v>-3</v>
      </c>
      <c r="H6" t="str" cm="1">
        <f t="array" ref="H6">_xlfn.TEXTJOIN(",",TRUE,TEXT(E6:G6,"0.0000"))</f>
        <v>-0.9510,2.0821,-3.0000</v>
      </c>
    </row>
    <row r="8" spans="1:16" x14ac:dyDescent="0.25">
      <c r="A8" t="s">
        <v>10</v>
      </c>
      <c r="B8" s="1">
        <v>-13.7165</v>
      </c>
      <c r="C8" s="1">
        <v>33.3125</v>
      </c>
      <c r="D8" s="1">
        <v>-40.5</v>
      </c>
      <c r="E8">
        <f>B8/16</f>
        <v>-0.85728124999999999</v>
      </c>
      <c r="F8">
        <f t="shared" ref="F8:G8" si="3">C8/16</f>
        <v>2.08203125</v>
      </c>
      <c r="G8">
        <f t="shared" si="3"/>
        <v>-2.53125</v>
      </c>
      <c r="H8" t="str" cm="1">
        <f t="array" ref="H8">_xlfn.TEXTJOIN(",",TRUE,TEXT(E8:G8,"0.0000"))</f>
        <v>-0.8573,2.0820,-2.5313</v>
      </c>
    </row>
    <row r="9" spans="1:16" x14ac:dyDescent="0.25">
      <c r="H9" t="str">
        <f>"["&amp;H2&amp;"],["&amp;H3&amp;"],["&amp;P3&amp;"],["&amp;P2&amp;"]"</f>
        <v>[0.8677,1.6835,-0.8125],[0.9733,1.4569,-0.8125],[0.9733,1.4569,0.8125],[0.8677,1.6835,0.8125]</v>
      </c>
      <c r="J9" s="1"/>
    </row>
    <row r="10" spans="1:16" x14ac:dyDescent="0.25">
      <c r="J10" s="1"/>
    </row>
    <row r="12" spans="1:16" x14ac:dyDescent="0.25">
      <c r="A12" t="s">
        <v>7</v>
      </c>
      <c r="B12" s="1">
        <v>13.882899999999999</v>
      </c>
      <c r="C12" s="1">
        <v>26.9358</v>
      </c>
      <c r="D12" s="1">
        <v>-13</v>
      </c>
    </row>
    <row r="13" spans="1:16" x14ac:dyDescent="0.25">
      <c r="A13" t="s">
        <v>11</v>
      </c>
      <c r="B13" s="1">
        <v>15.5733</v>
      </c>
      <c r="C13" s="1">
        <v>23.310600000000001</v>
      </c>
      <c r="D13" s="1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8D113-8762-4F53-9E46-C8CE76782573}">
  <sheetPr codeName="Sheet7"/>
  <dimension ref="A1:P10"/>
  <sheetViews>
    <sheetView zoomScale="70" zoomScaleNormal="70" workbookViewId="0">
      <selection activeCell="L19" sqref="A12:L19"/>
    </sheetView>
  </sheetViews>
  <sheetFormatPr defaultRowHeight="13.8" x14ac:dyDescent="0.25"/>
  <cols>
    <col min="8" max="8" width="31.33203125" customWidth="1"/>
    <col min="16" max="16" width="33.44140625" customWidth="1"/>
  </cols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</row>
    <row r="2" spans="1:16" x14ac:dyDescent="0.25">
      <c r="A2" t="s">
        <v>7</v>
      </c>
      <c r="B2" s="1">
        <v>-17.427199999999999</v>
      </c>
      <c r="C2" s="1">
        <v>32.959299999999999</v>
      </c>
      <c r="D2" s="1">
        <v>8.5</v>
      </c>
      <c r="E2">
        <f>B2/16</f>
        <v>-1.0891999999999999</v>
      </c>
      <c r="F2">
        <f t="shared" ref="F2:G3" si="0">C2/16</f>
        <v>2.0599562499999999</v>
      </c>
      <c r="G2">
        <f t="shared" si="0"/>
        <v>0.53125</v>
      </c>
      <c r="H2" t="str" cm="1">
        <f t="array" ref="H2">_xlfn.TEXTJOIN(",",TRUE,TEXT(E2:G2,"0.0000"))</f>
        <v>-1.0892,2.0600,0.5313</v>
      </c>
      <c r="I2" t="s">
        <v>9</v>
      </c>
      <c r="J2" s="1">
        <v>-17.427199999999999</v>
      </c>
      <c r="K2" s="1">
        <v>32.959299999999999</v>
      </c>
      <c r="L2" s="1">
        <v>-9.5</v>
      </c>
      <c r="M2">
        <f>J2/16</f>
        <v>-1.0891999999999999</v>
      </c>
      <c r="N2">
        <f>K2/16</f>
        <v>2.0599562499999999</v>
      </c>
      <c r="O2">
        <f>L2/16</f>
        <v>-0.59375</v>
      </c>
      <c r="P2" t="str" cm="1">
        <f t="array" ref="P2">_xlfn.TEXTJOIN(",",TRUE,TEXT(M2:O2,"0.0000"))</f>
        <v>-1.0892,2.0600,-0.5938</v>
      </c>
    </row>
    <row r="3" spans="1:16" x14ac:dyDescent="0.25">
      <c r="A3" t="s">
        <v>8</v>
      </c>
      <c r="B3" s="1">
        <v>-17.8188</v>
      </c>
      <c r="C3" s="1">
        <v>29.9849</v>
      </c>
      <c r="D3" s="1">
        <v>8.5</v>
      </c>
      <c r="E3">
        <f>B3/16</f>
        <v>-1.113675</v>
      </c>
      <c r="F3">
        <f t="shared" si="0"/>
        <v>1.87405625</v>
      </c>
      <c r="G3">
        <f t="shared" si="0"/>
        <v>0.53125</v>
      </c>
      <c r="H3" t="str" cm="1">
        <f t="array" ref="H3">_xlfn.TEXTJOIN(",",TRUE,TEXT(E3:G3,"0.0000"))</f>
        <v>-1.1137,1.8741,0.5313</v>
      </c>
      <c r="I3" t="s">
        <v>11</v>
      </c>
      <c r="J3" s="1">
        <v>-17.8188</v>
      </c>
      <c r="K3" s="1">
        <v>29.9849</v>
      </c>
      <c r="L3" s="1">
        <v>-9.5</v>
      </c>
      <c r="M3">
        <f>J3/16</f>
        <v>-1.113675</v>
      </c>
      <c r="N3">
        <f t="shared" ref="N3:O3" si="1">K3/16</f>
        <v>1.87405625</v>
      </c>
      <c r="O3">
        <f t="shared" si="1"/>
        <v>-0.59375</v>
      </c>
      <c r="P3" t="str" cm="1">
        <f t="array" ref="P3">_xlfn.TEXTJOIN(",",TRUE,TEXT(M3:O3,"0.0000"))</f>
        <v>-1.1137,1.8741,-0.5938</v>
      </c>
    </row>
    <row r="5" spans="1:16" x14ac:dyDescent="0.25">
      <c r="A5" t="s">
        <v>7</v>
      </c>
      <c r="B5" s="1">
        <v>-12.2165</v>
      </c>
      <c r="C5" s="1">
        <v>33.313499999999998</v>
      </c>
      <c r="D5" s="1">
        <v>-33</v>
      </c>
      <c r="E5">
        <f>B5/16</f>
        <v>-0.76353124999999999</v>
      </c>
      <c r="F5">
        <f t="shared" ref="F5:G6" si="2">C5/16</f>
        <v>2.0820937499999999</v>
      </c>
      <c r="G5">
        <f t="shared" si="2"/>
        <v>-2.0625</v>
      </c>
      <c r="H5" t="str" cm="1">
        <f t="array" ref="H5">_xlfn.TEXTJOIN(",",TRUE,TEXT(E5:G5,"0.0000"))</f>
        <v>-0.7635,2.0821,-2.0625</v>
      </c>
    </row>
    <row r="6" spans="1:16" x14ac:dyDescent="0.25">
      <c r="A6" t="s">
        <v>8</v>
      </c>
      <c r="B6" s="1">
        <v>-15.2165</v>
      </c>
      <c r="C6" s="1">
        <v>33.313499999999998</v>
      </c>
      <c r="D6" s="1">
        <v>-48</v>
      </c>
      <c r="E6">
        <f>B6/16</f>
        <v>-0.95103124999999999</v>
      </c>
      <c r="F6">
        <f t="shared" si="2"/>
        <v>2.0820937499999999</v>
      </c>
      <c r="G6">
        <f t="shared" si="2"/>
        <v>-3</v>
      </c>
      <c r="H6" t="str" cm="1">
        <f t="array" ref="H6">_xlfn.TEXTJOIN(",",TRUE,TEXT(E6:G6,"0.0000"))</f>
        <v>-0.9510,2.0821,-3.0000</v>
      </c>
    </row>
    <row r="8" spans="1:16" x14ac:dyDescent="0.25">
      <c r="A8" t="s">
        <v>10</v>
      </c>
      <c r="B8" s="1">
        <v>-13.7165</v>
      </c>
      <c r="C8" s="1">
        <v>33.3125</v>
      </c>
      <c r="D8" s="1">
        <v>-40.5</v>
      </c>
      <c r="E8">
        <f>B8/16</f>
        <v>-0.85728124999999999</v>
      </c>
      <c r="F8">
        <f t="shared" ref="F8:G8" si="3">C8/16</f>
        <v>2.08203125</v>
      </c>
      <c r="G8">
        <f t="shared" si="3"/>
        <v>-2.53125</v>
      </c>
      <c r="H8" t="str" cm="1">
        <f t="array" ref="H8">_xlfn.TEXTJOIN(",",TRUE,TEXT(E8:G8,"0.0000"))</f>
        <v>-0.8573,2.0820,-2.5313</v>
      </c>
    </row>
    <row r="9" spans="1:16" x14ac:dyDescent="0.25">
      <c r="H9" t="str">
        <f>"["&amp;H2&amp;"],["&amp;H3&amp;"],["&amp;P3&amp;"],["&amp;P2&amp;"]"</f>
        <v>[-1.0892,2.0600,0.5313],[-1.1137,1.8741,0.5313],[-1.1137,1.8741,-0.5938],[-1.0892,2.0600,-0.5938]</v>
      </c>
      <c r="J9" s="1"/>
    </row>
    <row r="10" spans="1:16" x14ac:dyDescent="0.25">
      <c r="J10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54372-68B5-4910-A49F-A146FB543BDF}">
  <sheetPr codeName="Sheet8"/>
  <dimension ref="A1:P13"/>
  <sheetViews>
    <sheetView workbookViewId="0">
      <selection activeCell="H9" sqref="H9"/>
    </sheetView>
  </sheetViews>
  <sheetFormatPr defaultRowHeight="13.8" x14ac:dyDescent="0.25"/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</row>
    <row r="2" spans="1:16" x14ac:dyDescent="0.25">
      <c r="A2" t="s">
        <v>7</v>
      </c>
      <c r="B2" s="1">
        <f>$B$12</f>
        <v>-13.882899999999999</v>
      </c>
      <c r="C2" s="1">
        <f>$C$12</f>
        <v>26.9358</v>
      </c>
      <c r="D2" s="1">
        <f>$D$12</f>
        <v>13</v>
      </c>
      <c r="E2">
        <f>B2/16</f>
        <v>-0.86768124999999996</v>
      </c>
      <c r="F2">
        <f t="shared" ref="F2:G3" si="0">C2/16</f>
        <v>1.6834875</v>
      </c>
      <c r="G2">
        <f t="shared" si="0"/>
        <v>0.8125</v>
      </c>
      <c r="H2" t="str" cm="1">
        <f t="array" ref="H2">_xlfn.TEXTJOIN(",",TRUE,TEXT(E2:G2,"0.0000"))</f>
        <v>-0.8677,1.6835,0.8125</v>
      </c>
      <c r="I2" t="s">
        <v>9</v>
      </c>
      <c r="J2" s="1">
        <f>$B$12</f>
        <v>-13.882899999999999</v>
      </c>
      <c r="K2" s="1">
        <f>$C$12</f>
        <v>26.9358</v>
      </c>
      <c r="L2" s="1">
        <f>$D$13</f>
        <v>-13</v>
      </c>
      <c r="M2">
        <f>J2/16</f>
        <v>-0.86768124999999996</v>
      </c>
      <c r="N2">
        <f>K2/16</f>
        <v>1.6834875</v>
      </c>
      <c r="O2">
        <f>L2/16</f>
        <v>-0.8125</v>
      </c>
      <c r="P2" t="str" cm="1">
        <f t="array" ref="P2">_xlfn.TEXTJOIN(",",TRUE,TEXT(M2:O2,"0.0000"))</f>
        <v>-0.8677,1.6835,-0.8125</v>
      </c>
    </row>
    <row r="3" spans="1:16" x14ac:dyDescent="0.25">
      <c r="A3" t="s">
        <v>8</v>
      </c>
      <c r="B3" s="1">
        <f>$B$13</f>
        <v>-15.5733</v>
      </c>
      <c r="C3" s="1">
        <f>$C$13</f>
        <v>23.310600000000001</v>
      </c>
      <c r="D3" s="1">
        <f>$D$12</f>
        <v>13</v>
      </c>
      <c r="E3">
        <f>B3/16</f>
        <v>-0.97333124999999998</v>
      </c>
      <c r="F3">
        <f t="shared" si="0"/>
        <v>1.4569125000000001</v>
      </c>
      <c r="G3">
        <f t="shared" si="0"/>
        <v>0.8125</v>
      </c>
      <c r="H3" t="str" cm="1">
        <f t="array" ref="H3">_xlfn.TEXTJOIN(",",TRUE,TEXT(E3:G3,"0.0000"))</f>
        <v>-0.9733,1.4569,0.8125</v>
      </c>
      <c r="I3" t="s">
        <v>11</v>
      </c>
      <c r="J3" s="1">
        <f>$B$13</f>
        <v>-15.5733</v>
      </c>
      <c r="K3" s="1">
        <f>$C$13</f>
        <v>23.310600000000001</v>
      </c>
      <c r="L3" s="1">
        <f>$D$13</f>
        <v>-13</v>
      </c>
      <c r="M3">
        <f>J3/16</f>
        <v>-0.97333124999999998</v>
      </c>
      <c r="N3">
        <f t="shared" ref="N3:O3" si="1">K3/16</f>
        <v>1.4569125000000001</v>
      </c>
      <c r="O3">
        <f t="shared" si="1"/>
        <v>-0.8125</v>
      </c>
      <c r="P3" t="str" cm="1">
        <f t="array" ref="P3">_xlfn.TEXTJOIN(",",TRUE,TEXT(M3:O3,"0.0000"))</f>
        <v>-0.9733,1.4569,-0.8125</v>
      </c>
    </row>
    <row r="5" spans="1:16" x14ac:dyDescent="0.25">
      <c r="A5" t="s">
        <v>7</v>
      </c>
      <c r="B5" s="1">
        <v>-12.2165</v>
      </c>
      <c r="C5" s="1">
        <v>33.313499999999998</v>
      </c>
      <c r="D5" s="1">
        <v>-33</v>
      </c>
      <c r="E5">
        <f>B5/16</f>
        <v>-0.76353124999999999</v>
      </c>
      <c r="F5">
        <f t="shared" ref="F5:G6" si="2">C5/16</f>
        <v>2.0820937499999999</v>
      </c>
      <c r="G5">
        <f t="shared" si="2"/>
        <v>-2.0625</v>
      </c>
      <c r="H5" t="str" cm="1">
        <f t="array" ref="H5">_xlfn.TEXTJOIN(",",TRUE,TEXT(E5:G5,"0.0000"))</f>
        <v>-0.7635,2.0821,-2.0625</v>
      </c>
    </row>
    <row r="6" spans="1:16" x14ac:dyDescent="0.25">
      <c r="A6" t="s">
        <v>8</v>
      </c>
      <c r="B6" s="1">
        <v>-15.2165</v>
      </c>
      <c r="C6" s="1">
        <v>33.313499999999998</v>
      </c>
      <c r="D6" s="1">
        <v>-48</v>
      </c>
      <c r="E6">
        <f>B6/16</f>
        <v>-0.95103124999999999</v>
      </c>
      <c r="F6">
        <f t="shared" si="2"/>
        <v>2.0820937499999999</v>
      </c>
      <c r="G6">
        <f t="shared" si="2"/>
        <v>-3</v>
      </c>
      <c r="H6" t="str" cm="1">
        <f t="array" ref="H6">_xlfn.TEXTJOIN(",",TRUE,TEXT(E6:G6,"0.0000"))</f>
        <v>-0.9510,2.0821,-3.0000</v>
      </c>
    </row>
    <row r="8" spans="1:16" x14ac:dyDescent="0.25">
      <c r="A8" t="s">
        <v>10</v>
      </c>
      <c r="B8" s="1">
        <v>-13.7165</v>
      </c>
      <c r="C8" s="1">
        <v>33.3125</v>
      </c>
      <c r="D8" s="1">
        <v>-40.5</v>
      </c>
      <c r="E8">
        <f>B8/16</f>
        <v>-0.85728124999999999</v>
      </c>
      <c r="F8">
        <f t="shared" ref="F8:G8" si="3">C8/16</f>
        <v>2.08203125</v>
      </c>
      <c r="G8">
        <f t="shared" si="3"/>
        <v>-2.53125</v>
      </c>
      <c r="H8" t="str" cm="1">
        <f t="array" ref="H8">_xlfn.TEXTJOIN(",",TRUE,TEXT(E8:G8,"0.0000"))</f>
        <v>-0.8573,2.0820,-2.5313</v>
      </c>
    </row>
    <row r="9" spans="1:16" x14ac:dyDescent="0.25">
      <c r="H9" t="str">
        <f>"["&amp;H2&amp;"],["&amp;H3&amp;"],["&amp;P3&amp;"],["&amp;P2&amp;"]"</f>
        <v>[-0.8677,1.6835,0.8125],[-0.9733,1.4569,0.8125],[-0.9733,1.4569,-0.8125],[-0.8677,1.6835,-0.8125]</v>
      </c>
      <c r="J9" s="1"/>
    </row>
    <row r="10" spans="1:16" x14ac:dyDescent="0.25">
      <c r="J10" s="1"/>
    </row>
    <row r="12" spans="1:16" x14ac:dyDescent="0.25">
      <c r="A12" t="s">
        <v>7</v>
      </c>
      <c r="B12" s="1">
        <v>-13.882899999999999</v>
      </c>
      <c r="C12" s="1">
        <v>26.9358</v>
      </c>
      <c r="D12" s="1">
        <v>13</v>
      </c>
    </row>
    <row r="13" spans="1:16" x14ac:dyDescent="0.25">
      <c r="A13" t="s">
        <v>11</v>
      </c>
      <c r="B13" s="1">
        <v>-15.5733</v>
      </c>
      <c r="C13" s="1">
        <v>23.310600000000001</v>
      </c>
      <c r="D13" s="1">
        <v>-13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B97BA-A54F-494F-B213-C7561572E1F9}">
  <sheetPr codeName="Sheet9"/>
  <dimension ref="A1:P13"/>
  <sheetViews>
    <sheetView topLeftCell="A4" workbookViewId="0">
      <selection activeCell="H9" sqref="H9"/>
    </sheetView>
  </sheetViews>
  <sheetFormatPr defaultRowHeight="13.8" x14ac:dyDescent="0.25"/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</row>
    <row r="2" spans="1:16" x14ac:dyDescent="0.25">
      <c r="A2" t="s">
        <v>7</v>
      </c>
      <c r="B2" s="1">
        <f>$B$12</f>
        <v>-12.5</v>
      </c>
      <c r="C2" s="1">
        <f>$C$12</f>
        <v>26.0883</v>
      </c>
      <c r="D2" s="1">
        <f>$D$12</f>
        <v>56.974600000000002</v>
      </c>
      <c r="E2">
        <f>B2/16</f>
        <v>-0.78125</v>
      </c>
      <c r="F2">
        <f t="shared" ref="F2:G3" si="0">C2/16</f>
        <v>1.63051875</v>
      </c>
      <c r="G2">
        <f t="shared" si="0"/>
        <v>3.5609125000000001</v>
      </c>
      <c r="H2" t="str" cm="1">
        <f t="array" ref="H2">_xlfn.TEXTJOIN(",",TRUE,TEXT(E2:G2,"0.0000"))</f>
        <v>-0.7813,1.6305,3.5609</v>
      </c>
      <c r="I2" t="s">
        <v>9</v>
      </c>
      <c r="J2" s="1">
        <f>$B$13</f>
        <v>12.5</v>
      </c>
      <c r="K2" s="1">
        <f>$C$12</f>
        <v>26.0883</v>
      </c>
      <c r="L2" s="1">
        <f>$D$12</f>
        <v>56.974600000000002</v>
      </c>
      <c r="M2">
        <f>J2/16</f>
        <v>0.78125</v>
      </c>
      <c r="N2">
        <f>K2/16</f>
        <v>1.63051875</v>
      </c>
      <c r="O2">
        <f>L2/16</f>
        <v>3.5609125000000001</v>
      </c>
      <c r="P2" t="str" cm="1">
        <f t="array" ref="P2">_xlfn.TEXTJOIN(",",TRUE,TEXT(M2:O2,"0.0000"))</f>
        <v>0.7813,1.6305,3.5609</v>
      </c>
    </row>
    <row r="3" spans="1:16" x14ac:dyDescent="0.25">
      <c r="A3" t="s">
        <v>8</v>
      </c>
      <c r="B3" s="1">
        <f>$B$12</f>
        <v>-12.5</v>
      </c>
      <c r="C3" s="1">
        <f>$C$13</f>
        <v>22.122599999999998</v>
      </c>
      <c r="D3" s="1">
        <f>$D$13</f>
        <v>57.496699999999997</v>
      </c>
      <c r="E3">
        <f>B3/16</f>
        <v>-0.78125</v>
      </c>
      <c r="F3">
        <f t="shared" si="0"/>
        <v>1.3826624999999999</v>
      </c>
      <c r="G3">
        <f t="shared" si="0"/>
        <v>3.5935437499999998</v>
      </c>
      <c r="H3" t="str" cm="1">
        <f t="array" ref="H3">_xlfn.TEXTJOIN(",",TRUE,TEXT(E3:G3,"0.0000"))</f>
        <v>-0.7813,1.3827,3.5935</v>
      </c>
      <c r="I3" t="s">
        <v>11</v>
      </c>
      <c r="J3" s="1">
        <f>$B$13</f>
        <v>12.5</v>
      </c>
      <c r="K3" s="1">
        <f>$C$13</f>
        <v>22.122599999999998</v>
      </c>
      <c r="L3" s="1">
        <f>$D$13</f>
        <v>57.496699999999997</v>
      </c>
      <c r="M3">
        <f>J3/16</f>
        <v>0.78125</v>
      </c>
      <c r="N3">
        <f t="shared" ref="N3:O3" si="1">K3/16</f>
        <v>1.3826624999999999</v>
      </c>
      <c r="O3">
        <f t="shared" si="1"/>
        <v>3.5935437499999998</v>
      </c>
      <c r="P3" t="str" cm="1">
        <f t="array" ref="P3">_xlfn.TEXTJOIN(",",TRUE,TEXT(M3:O3,"0.0000"))</f>
        <v>0.7813,1.3827,3.5935</v>
      </c>
    </row>
    <row r="5" spans="1:16" x14ac:dyDescent="0.25">
      <c r="A5" t="s">
        <v>7</v>
      </c>
      <c r="B5" s="1">
        <v>-12.2165</v>
      </c>
      <c r="C5" s="1">
        <v>33.313499999999998</v>
      </c>
      <c r="D5" s="1">
        <v>-33</v>
      </c>
      <c r="E5">
        <f>B5/16</f>
        <v>-0.76353124999999999</v>
      </c>
      <c r="F5">
        <f t="shared" ref="F5:G6" si="2">C5/16</f>
        <v>2.0820937499999999</v>
      </c>
      <c r="G5">
        <f t="shared" si="2"/>
        <v>-2.0625</v>
      </c>
      <c r="H5" t="str" cm="1">
        <f t="array" ref="H5">_xlfn.TEXTJOIN(",",TRUE,TEXT(E5:G5,"0.0000"))</f>
        <v>-0.7635,2.0821,-2.0625</v>
      </c>
    </row>
    <row r="6" spans="1:16" x14ac:dyDescent="0.25">
      <c r="A6" t="s">
        <v>8</v>
      </c>
      <c r="B6" s="1">
        <v>-15.2165</v>
      </c>
      <c r="C6" s="1">
        <v>33.313499999999998</v>
      </c>
      <c r="D6" s="1">
        <v>-48</v>
      </c>
      <c r="E6">
        <f>B6/16</f>
        <v>-0.95103124999999999</v>
      </c>
      <c r="F6">
        <f t="shared" si="2"/>
        <v>2.0820937499999999</v>
      </c>
      <c r="G6">
        <f t="shared" si="2"/>
        <v>-3</v>
      </c>
      <c r="H6" t="str" cm="1">
        <f t="array" ref="H6">_xlfn.TEXTJOIN(",",TRUE,TEXT(E6:G6,"0.0000"))</f>
        <v>-0.9510,2.0821,-3.0000</v>
      </c>
    </row>
    <row r="8" spans="1:16" x14ac:dyDescent="0.25">
      <c r="A8" t="s">
        <v>10</v>
      </c>
      <c r="B8" s="1">
        <v>-13.7165</v>
      </c>
      <c r="C8" s="1">
        <v>33.3125</v>
      </c>
      <c r="D8" s="1">
        <v>-40.5</v>
      </c>
      <c r="E8">
        <f>B8/16</f>
        <v>-0.85728124999999999</v>
      </c>
      <c r="F8">
        <f t="shared" ref="F8:G8" si="3">C8/16</f>
        <v>2.08203125</v>
      </c>
      <c r="G8">
        <f t="shared" si="3"/>
        <v>-2.53125</v>
      </c>
      <c r="H8" t="str" cm="1">
        <f t="array" ref="H8">_xlfn.TEXTJOIN(",",TRUE,TEXT(E8:G8,"0.0000"))</f>
        <v>-0.8573,2.0820,-2.5313</v>
      </c>
    </row>
    <row r="9" spans="1:16" x14ac:dyDescent="0.25">
      <c r="H9" t="str">
        <f>"["&amp;H2&amp;"],["&amp;H3&amp;"],["&amp;P3&amp;"],["&amp;P2&amp;"]"</f>
        <v>[-0.7813,1.6305,3.5609],[-0.7813,1.3827,3.5935],[0.7813,1.3827,3.5935],[0.7813,1.6305,3.5609]</v>
      </c>
      <c r="J9" s="1"/>
    </row>
    <row r="10" spans="1:16" x14ac:dyDescent="0.25">
      <c r="J10" s="1"/>
    </row>
    <row r="12" spans="1:16" x14ac:dyDescent="0.25">
      <c r="A12" t="s">
        <v>7</v>
      </c>
      <c r="B12" s="1">
        <v>-12.5</v>
      </c>
      <c r="C12" s="1">
        <v>26.0883</v>
      </c>
      <c r="D12" s="1">
        <v>56.974600000000002</v>
      </c>
    </row>
    <row r="13" spans="1:16" x14ac:dyDescent="0.25">
      <c r="A13" t="s">
        <v>11</v>
      </c>
      <c r="B13" s="1">
        <v>12.5</v>
      </c>
      <c r="C13" s="1">
        <v>22.122599999999998</v>
      </c>
      <c r="D13" s="1">
        <v>57.496699999999997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7FF73-C73E-45B7-9FC9-B9B5647A8548}">
  <sheetPr codeName="Sheet11"/>
  <dimension ref="A1:P13"/>
  <sheetViews>
    <sheetView workbookViewId="0">
      <selection activeCell="H9" sqref="H9"/>
    </sheetView>
  </sheetViews>
  <sheetFormatPr defaultRowHeight="13.8" x14ac:dyDescent="0.25"/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</row>
    <row r="2" spans="1:16" x14ac:dyDescent="0.25">
      <c r="A2" t="s">
        <v>7</v>
      </c>
      <c r="B2" s="1">
        <f>$B$12</f>
        <v>13.5</v>
      </c>
      <c r="C2" s="1">
        <f>$C$12</f>
        <v>27</v>
      </c>
      <c r="D2" s="1">
        <f>$D$12</f>
        <v>-55.176000000000002</v>
      </c>
      <c r="E2">
        <f>B2/16</f>
        <v>0.84375</v>
      </c>
      <c r="F2">
        <f t="shared" ref="F2:G3" si="0">C2/16</f>
        <v>1.6875</v>
      </c>
      <c r="G2">
        <f t="shared" si="0"/>
        <v>-3.4485000000000001</v>
      </c>
      <c r="H2" t="str" cm="1">
        <f t="array" ref="H2">_xlfn.TEXTJOIN(",",TRUE,TEXT(E2:G2,"0.0000"))</f>
        <v>0.8438,1.6875,-3.4485</v>
      </c>
      <c r="I2" t="s">
        <v>9</v>
      </c>
      <c r="J2" s="1">
        <f>$B$13</f>
        <v>-13.5</v>
      </c>
      <c r="K2" s="1">
        <f>$C$12</f>
        <v>27</v>
      </c>
      <c r="L2" s="1">
        <f>$D$12</f>
        <v>-55.176000000000002</v>
      </c>
      <c r="M2">
        <f>J2/16</f>
        <v>-0.84375</v>
      </c>
      <c r="N2">
        <f>K2/16</f>
        <v>1.6875</v>
      </c>
      <c r="O2">
        <f>L2/16</f>
        <v>-3.4485000000000001</v>
      </c>
      <c r="P2" t="str" cm="1">
        <f t="array" ref="P2">_xlfn.TEXTJOIN(",",TRUE,TEXT(M2:O2,"0.0000"))</f>
        <v>-0.8438,1.6875,-3.4485</v>
      </c>
    </row>
    <row r="3" spans="1:16" x14ac:dyDescent="0.25">
      <c r="A3" t="s">
        <v>8</v>
      </c>
      <c r="B3" s="1">
        <f>$B$12</f>
        <v>13.5</v>
      </c>
      <c r="C3" s="1">
        <f>$C$13</f>
        <v>23</v>
      </c>
      <c r="D3" s="1">
        <f>$D$13</f>
        <v>-55.176000000000002</v>
      </c>
      <c r="E3">
        <f>B3/16</f>
        <v>0.84375</v>
      </c>
      <c r="F3">
        <f t="shared" si="0"/>
        <v>1.4375</v>
      </c>
      <c r="G3">
        <f t="shared" si="0"/>
        <v>-3.4485000000000001</v>
      </c>
      <c r="H3" t="str" cm="1">
        <f t="array" ref="H3">_xlfn.TEXTJOIN(",",TRUE,TEXT(E3:G3,"0.0000"))</f>
        <v>0.8438,1.4375,-3.4485</v>
      </c>
      <c r="I3" t="s">
        <v>11</v>
      </c>
      <c r="J3" s="1">
        <f>$B$13</f>
        <v>-13.5</v>
      </c>
      <c r="K3" s="1">
        <f>$C$13</f>
        <v>23</v>
      </c>
      <c r="L3" s="1">
        <f>$D$13</f>
        <v>-55.176000000000002</v>
      </c>
      <c r="M3">
        <f>J3/16</f>
        <v>-0.84375</v>
      </c>
      <c r="N3">
        <f t="shared" ref="N3:O3" si="1">K3/16</f>
        <v>1.4375</v>
      </c>
      <c r="O3">
        <f t="shared" si="1"/>
        <v>-3.4485000000000001</v>
      </c>
      <c r="P3" t="str" cm="1">
        <f t="array" ref="P3">_xlfn.TEXTJOIN(",",TRUE,TEXT(M3:O3,"0.0000"))</f>
        <v>-0.8438,1.4375,-3.4485</v>
      </c>
    </row>
    <row r="5" spans="1:16" x14ac:dyDescent="0.25">
      <c r="A5" t="s">
        <v>7</v>
      </c>
      <c r="B5" s="1">
        <v>-12.2165</v>
      </c>
      <c r="C5" s="1">
        <v>33.313499999999998</v>
      </c>
      <c r="D5" s="1">
        <v>-33</v>
      </c>
      <c r="E5">
        <f>B5/16</f>
        <v>-0.76353124999999999</v>
      </c>
      <c r="F5">
        <f t="shared" ref="F5:G6" si="2">C5/16</f>
        <v>2.0820937499999999</v>
      </c>
      <c r="G5">
        <f t="shared" si="2"/>
        <v>-2.0625</v>
      </c>
      <c r="H5" t="str" cm="1">
        <f t="array" ref="H5">_xlfn.TEXTJOIN(",",TRUE,TEXT(E5:G5,"0.0000"))</f>
        <v>-0.7635,2.0821,-2.0625</v>
      </c>
    </row>
    <row r="6" spans="1:16" x14ac:dyDescent="0.25">
      <c r="A6" t="s">
        <v>8</v>
      </c>
      <c r="B6" s="1">
        <v>-15.2165</v>
      </c>
      <c r="C6" s="1">
        <v>33.313499999999998</v>
      </c>
      <c r="D6" s="1">
        <v>-48</v>
      </c>
      <c r="E6">
        <f>B6/16</f>
        <v>-0.95103124999999999</v>
      </c>
      <c r="F6">
        <f t="shared" si="2"/>
        <v>2.0820937499999999</v>
      </c>
      <c r="G6">
        <f t="shared" si="2"/>
        <v>-3</v>
      </c>
      <c r="H6" t="str" cm="1">
        <f t="array" ref="H6">_xlfn.TEXTJOIN(",",TRUE,TEXT(E6:G6,"0.0000"))</f>
        <v>-0.9510,2.0821,-3.0000</v>
      </c>
    </row>
    <row r="8" spans="1:16" x14ac:dyDescent="0.25">
      <c r="A8" t="s">
        <v>10</v>
      </c>
      <c r="B8" s="1">
        <v>-13.7165</v>
      </c>
      <c r="C8" s="1">
        <v>33.3125</v>
      </c>
      <c r="D8" s="1">
        <v>-40.5</v>
      </c>
      <c r="E8">
        <f>B8/16</f>
        <v>-0.85728124999999999</v>
      </c>
      <c r="F8">
        <f t="shared" ref="F8:G8" si="3">C8/16</f>
        <v>2.08203125</v>
      </c>
      <c r="G8">
        <f t="shared" si="3"/>
        <v>-2.53125</v>
      </c>
      <c r="H8" t="str" cm="1">
        <f t="array" ref="H8">_xlfn.TEXTJOIN(",",TRUE,TEXT(E8:G8,"0.0000"))</f>
        <v>-0.8573,2.0820,-2.5313</v>
      </c>
    </row>
    <row r="9" spans="1:16" x14ac:dyDescent="0.25">
      <c r="H9" t="str">
        <f>"["&amp;H2&amp;"],["&amp;H3&amp;"],["&amp;P3&amp;"],["&amp;P2&amp;"]"</f>
        <v>[0.8438,1.6875,-3.4485],[0.8438,1.4375,-3.4485],[-0.8438,1.4375,-3.4485],[-0.8438,1.6875,-3.4485]</v>
      </c>
      <c r="J9" s="1"/>
    </row>
    <row r="10" spans="1:16" x14ac:dyDescent="0.25">
      <c r="J10" s="1"/>
    </row>
    <row r="12" spans="1:16" x14ac:dyDescent="0.25">
      <c r="A12" t="s">
        <v>7</v>
      </c>
      <c r="B12" s="1">
        <v>13.5</v>
      </c>
      <c r="C12" s="1">
        <v>27</v>
      </c>
      <c r="D12" s="1">
        <v>-55.176000000000002</v>
      </c>
    </row>
    <row r="13" spans="1:16" x14ac:dyDescent="0.25">
      <c r="A13" t="s">
        <v>11</v>
      </c>
      <c r="B13" s="1">
        <v>-13.5</v>
      </c>
      <c r="C13" s="1">
        <v>23</v>
      </c>
      <c r="D13" s="1">
        <v>-55.176000000000002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20660-28AA-4222-AC1F-DF5F3FE4575A}">
  <sheetPr codeName="Sheet10"/>
  <dimension ref="A1:P13"/>
  <sheetViews>
    <sheetView workbookViewId="0">
      <selection activeCell="H9" sqref="H9"/>
    </sheetView>
  </sheetViews>
  <sheetFormatPr defaultRowHeight="13.8" x14ac:dyDescent="0.25"/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</row>
    <row r="2" spans="1:16" x14ac:dyDescent="0.25">
      <c r="A2" t="s">
        <v>7</v>
      </c>
      <c r="B2" s="1">
        <f>$B$12</f>
        <v>-18.451000000000001</v>
      </c>
      <c r="C2" s="1">
        <f>$C$12</f>
        <v>27</v>
      </c>
      <c r="D2" s="1">
        <f>$D$12</f>
        <v>-4.2750000000000004</v>
      </c>
      <c r="E2">
        <f>B2/16</f>
        <v>-1.1531875</v>
      </c>
      <c r="F2">
        <f t="shared" ref="F2:G3" si="0">C2/16</f>
        <v>1.6875</v>
      </c>
      <c r="G2">
        <f t="shared" si="0"/>
        <v>-0.26718750000000002</v>
      </c>
      <c r="H2" t="str" cm="1">
        <f t="array" ref="H2">_xlfn.TEXTJOIN(",",TRUE,TEXT(E2:G2,"0.0000"))</f>
        <v>-1.1532,1.6875,-0.2672</v>
      </c>
      <c r="I2" t="s">
        <v>9</v>
      </c>
      <c r="J2" s="1">
        <f>$B$12</f>
        <v>-18.451000000000001</v>
      </c>
      <c r="K2" s="1">
        <f>$C$12</f>
        <v>27</v>
      </c>
      <c r="L2" s="1">
        <f>$D$13</f>
        <v>12.725</v>
      </c>
      <c r="M2">
        <f>J2/16</f>
        <v>-1.1531875</v>
      </c>
      <c r="N2">
        <f>K2/16</f>
        <v>1.6875</v>
      </c>
      <c r="O2">
        <f>L2/16</f>
        <v>0.79531249999999998</v>
      </c>
      <c r="P2" t="str" cm="1">
        <f t="array" ref="P2">_xlfn.TEXTJOIN(",",TRUE,TEXT(M2:O2,"0.0000"))</f>
        <v>-1.1532,1.6875,0.7953</v>
      </c>
    </row>
    <row r="3" spans="1:16" x14ac:dyDescent="0.25">
      <c r="A3" t="s">
        <v>8</v>
      </c>
      <c r="B3" s="1">
        <f>$B$13</f>
        <v>-18.451000000000001</v>
      </c>
      <c r="C3" s="1">
        <f>$C$13</f>
        <v>24</v>
      </c>
      <c r="D3" s="1">
        <f>$D$12</f>
        <v>-4.2750000000000004</v>
      </c>
      <c r="E3">
        <f>B3/16</f>
        <v>-1.1531875</v>
      </c>
      <c r="F3">
        <f t="shared" si="0"/>
        <v>1.5</v>
      </c>
      <c r="G3">
        <f t="shared" si="0"/>
        <v>-0.26718750000000002</v>
      </c>
      <c r="H3" t="str" cm="1">
        <f t="array" ref="H3">_xlfn.TEXTJOIN(",",TRUE,TEXT(E3:G3,"0.0000"))</f>
        <v>-1.1532,1.5000,-0.2672</v>
      </c>
      <c r="I3" t="s">
        <v>11</v>
      </c>
      <c r="J3" s="1">
        <f>$B$13</f>
        <v>-18.451000000000001</v>
      </c>
      <c r="K3" s="1">
        <f>$C$13</f>
        <v>24</v>
      </c>
      <c r="L3" s="1">
        <f>$D$13</f>
        <v>12.725</v>
      </c>
      <c r="M3">
        <f>J3/16</f>
        <v>-1.1531875</v>
      </c>
      <c r="N3">
        <f t="shared" ref="N3:O3" si="1">K3/16</f>
        <v>1.5</v>
      </c>
      <c r="O3">
        <f t="shared" si="1"/>
        <v>0.79531249999999998</v>
      </c>
      <c r="P3" t="str" cm="1">
        <f t="array" ref="P3">_xlfn.TEXTJOIN(",",TRUE,TEXT(M3:O3,"0.0000"))</f>
        <v>-1.1532,1.5000,0.7953</v>
      </c>
    </row>
    <row r="5" spans="1:16" x14ac:dyDescent="0.25">
      <c r="A5" t="s">
        <v>7</v>
      </c>
      <c r="B5" s="1">
        <v>-12.2165</v>
      </c>
      <c r="C5" s="1">
        <v>33.313499999999998</v>
      </c>
      <c r="D5" s="1">
        <v>-33</v>
      </c>
      <c r="E5">
        <f>B5/16</f>
        <v>-0.76353124999999999</v>
      </c>
      <c r="F5">
        <f t="shared" ref="F5:G6" si="2">C5/16</f>
        <v>2.0820937499999999</v>
      </c>
      <c r="G5">
        <f t="shared" si="2"/>
        <v>-2.0625</v>
      </c>
      <c r="H5" t="str" cm="1">
        <f t="array" ref="H5">_xlfn.TEXTJOIN(",",TRUE,TEXT(E5:G5,"0.0000"))</f>
        <v>-0.7635,2.0821,-2.0625</v>
      </c>
    </row>
    <row r="6" spans="1:16" x14ac:dyDescent="0.25">
      <c r="A6" t="s">
        <v>8</v>
      </c>
      <c r="B6" s="1">
        <v>-15.2165</v>
      </c>
      <c r="C6" s="1">
        <v>33.313499999999998</v>
      </c>
      <c r="D6" s="1">
        <v>-48</v>
      </c>
      <c r="E6">
        <f>B6/16</f>
        <v>-0.95103124999999999</v>
      </c>
      <c r="F6">
        <f t="shared" si="2"/>
        <v>2.0820937499999999</v>
      </c>
      <c r="G6">
        <f t="shared" si="2"/>
        <v>-3</v>
      </c>
      <c r="H6" t="str" cm="1">
        <f t="array" ref="H6">_xlfn.TEXTJOIN(",",TRUE,TEXT(E6:G6,"0.0000"))</f>
        <v>-0.9510,2.0821,-3.0000</v>
      </c>
    </row>
    <row r="8" spans="1:16" x14ac:dyDescent="0.25">
      <c r="A8" t="s">
        <v>10</v>
      </c>
      <c r="B8" s="1">
        <v>-13.7165</v>
      </c>
      <c r="C8" s="1">
        <v>33.3125</v>
      </c>
      <c r="D8" s="1">
        <v>-40.5</v>
      </c>
      <c r="E8">
        <f>B8/16</f>
        <v>-0.85728124999999999</v>
      </c>
      <c r="F8">
        <f t="shared" ref="F8:G8" si="3">C8/16</f>
        <v>2.08203125</v>
      </c>
      <c r="G8">
        <f t="shared" si="3"/>
        <v>-2.53125</v>
      </c>
      <c r="H8" t="str" cm="1">
        <f t="array" ref="H8">_xlfn.TEXTJOIN(",",TRUE,TEXT(E8:G8,"0.0000"))</f>
        <v>-0.8573,2.0820,-2.5313</v>
      </c>
    </row>
    <row r="9" spans="1:16" x14ac:dyDescent="0.25">
      <c r="H9" t="str">
        <f>"["&amp;H2&amp;"],["&amp;H3&amp;"],["&amp;P3&amp;"],["&amp;P2&amp;"]"</f>
        <v>[-1.1532,1.6875,-0.2672],[-1.1532,1.5000,-0.2672],[-1.1532,1.5000,0.7953],[-1.1532,1.6875,0.7953]</v>
      </c>
      <c r="J9" s="1"/>
    </row>
    <row r="10" spans="1:16" x14ac:dyDescent="0.25">
      <c r="J10" s="1"/>
    </row>
    <row r="12" spans="1:16" x14ac:dyDescent="0.25">
      <c r="A12" t="s">
        <v>7</v>
      </c>
      <c r="B12" s="1">
        <v>-18.451000000000001</v>
      </c>
      <c r="C12" s="1">
        <v>27</v>
      </c>
      <c r="D12" s="1">
        <v>-4.2750000000000004</v>
      </c>
    </row>
    <row r="13" spans="1:16" x14ac:dyDescent="0.25">
      <c r="A13" t="s">
        <v>11</v>
      </c>
      <c r="B13" s="1">
        <v>-18.451000000000001</v>
      </c>
      <c r="C13" s="1">
        <v>24</v>
      </c>
      <c r="D13" s="1">
        <v>12.725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B6D98-391E-4751-AF05-CED6F5605837}">
  <sheetPr codeName="Sheet12"/>
  <dimension ref="A1:P13"/>
  <sheetViews>
    <sheetView workbookViewId="0">
      <selection sqref="A1:XFD1048576"/>
    </sheetView>
  </sheetViews>
  <sheetFormatPr defaultRowHeight="13.8" x14ac:dyDescent="0.25"/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</row>
    <row r="2" spans="1:16" x14ac:dyDescent="0.25">
      <c r="A2" t="s">
        <v>7</v>
      </c>
      <c r="B2" s="1">
        <f>$B$12</f>
        <v>6.1098999999999997</v>
      </c>
      <c r="C2" s="1">
        <f>$C$12</f>
        <v>33.890599999999999</v>
      </c>
      <c r="D2" s="1">
        <f>$D$12</f>
        <v>-1.4587000000000001</v>
      </c>
      <c r="E2">
        <f>B2/16</f>
        <v>0.38186874999999998</v>
      </c>
      <c r="F2">
        <f t="shared" ref="F2:G3" si="0">C2/16</f>
        <v>2.1181624999999999</v>
      </c>
      <c r="G2">
        <f t="shared" si="0"/>
        <v>-9.1168750000000007E-2</v>
      </c>
      <c r="H2" t="str" cm="1">
        <f t="array" ref="H2">_xlfn.TEXTJOIN(",",TRUE,TEXT(E2:G2,"0.0000"))</f>
        <v>0.3819,2.1182,-0.0912</v>
      </c>
      <c r="I2" t="s">
        <v>9</v>
      </c>
      <c r="J2" s="1">
        <f>$B$13</f>
        <v>-6.1098999999999997</v>
      </c>
      <c r="K2" s="1">
        <f>$C$12</f>
        <v>33.890599999999999</v>
      </c>
      <c r="L2" s="1">
        <f>$D$12</f>
        <v>-1.4587000000000001</v>
      </c>
      <c r="M2">
        <f>J2/16</f>
        <v>-0.38186874999999998</v>
      </c>
      <c r="N2">
        <f>K2/16</f>
        <v>2.1181624999999999</v>
      </c>
      <c r="O2">
        <f>L2/16</f>
        <v>-9.1168750000000007E-2</v>
      </c>
      <c r="P2" t="str" cm="1">
        <f t="array" ref="P2">_xlfn.TEXTJOIN(",",TRUE,TEXT(M2:O2,"0.0000"))</f>
        <v>-0.3819,2.1182,-0.0912</v>
      </c>
    </row>
    <row r="3" spans="1:16" x14ac:dyDescent="0.25">
      <c r="A3" t="s">
        <v>8</v>
      </c>
      <c r="B3" s="1">
        <f>$B$12</f>
        <v>6.1098999999999997</v>
      </c>
      <c r="C3" s="1">
        <f>$C$13</f>
        <v>32.413400000000003</v>
      </c>
      <c r="D3" s="1">
        <f>$D$13</f>
        <v>-1.1982999999999999</v>
      </c>
      <c r="E3">
        <f>B3/16</f>
        <v>0.38186874999999998</v>
      </c>
      <c r="F3">
        <f t="shared" si="0"/>
        <v>2.0258375000000002</v>
      </c>
      <c r="G3">
        <f t="shared" si="0"/>
        <v>-7.4893749999999995E-2</v>
      </c>
      <c r="H3" t="str" cm="1">
        <f t="array" ref="H3">_xlfn.TEXTJOIN(",",TRUE,TEXT(E3:G3,"0.0000"))</f>
        <v>0.3819,2.0258,-0.0749</v>
      </c>
      <c r="I3" t="s">
        <v>11</v>
      </c>
      <c r="J3" s="1">
        <f>$B$13</f>
        <v>-6.1098999999999997</v>
      </c>
      <c r="K3" s="1">
        <f>$C$13</f>
        <v>32.413400000000003</v>
      </c>
      <c r="L3" s="1">
        <f>$D$13</f>
        <v>-1.1982999999999999</v>
      </c>
      <c r="M3">
        <f>J3/16</f>
        <v>-0.38186874999999998</v>
      </c>
      <c r="N3">
        <f t="shared" ref="N3:O3" si="1">K3/16</f>
        <v>2.0258375000000002</v>
      </c>
      <c r="O3">
        <f t="shared" si="1"/>
        <v>-7.4893749999999995E-2</v>
      </c>
      <c r="P3" t="str" cm="1">
        <f t="array" ref="P3">_xlfn.TEXTJOIN(",",TRUE,TEXT(M3:O3,"0.0000"))</f>
        <v>-0.3819,2.0258,-0.0749</v>
      </c>
    </row>
    <row r="5" spans="1:16" x14ac:dyDescent="0.25">
      <c r="A5" t="s">
        <v>7</v>
      </c>
      <c r="B5" s="1">
        <v>-12.2165</v>
      </c>
      <c r="C5" s="1">
        <v>33.313499999999998</v>
      </c>
      <c r="D5" s="1">
        <v>-33</v>
      </c>
      <c r="E5">
        <f>B5/16</f>
        <v>-0.76353124999999999</v>
      </c>
      <c r="F5">
        <f t="shared" ref="F5:G6" si="2">C5/16</f>
        <v>2.0820937499999999</v>
      </c>
      <c r="G5">
        <f t="shared" si="2"/>
        <v>-2.0625</v>
      </c>
      <c r="H5" t="str" cm="1">
        <f t="array" ref="H5">_xlfn.TEXTJOIN(",",TRUE,TEXT(E5:G5,"0.0000"))</f>
        <v>-0.7635,2.0821,-2.0625</v>
      </c>
    </row>
    <row r="6" spans="1:16" x14ac:dyDescent="0.25">
      <c r="A6" t="s">
        <v>8</v>
      </c>
      <c r="B6" s="1">
        <v>-15.2165</v>
      </c>
      <c r="C6" s="1">
        <v>33.313499999999998</v>
      </c>
      <c r="D6" s="1">
        <v>-48</v>
      </c>
      <c r="E6">
        <f>B6/16</f>
        <v>-0.95103124999999999</v>
      </c>
      <c r="F6">
        <f t="shared" si="2"/>
        <v>2.0820937499999999</v>
      </c>
      <c r="G6">
        <f t="shared" si="2"/>
        <v>-3</v>
      </c>
      <c r="H6" t="str" cm="1">
        <f t="array" ref="H6">_xlfn.TEXTJOIN(",",TRUE,TEXT(E6:G6,"0.0000"))</f>
        <v>-0.9510,2.0821,-3.0000</v>
      </c>
    </row>
    <row r="8" spans="1:16" x14ac:dyDescent="0.25">
      <c r="A8" t="s">
        <v>10</v>
      </c>
      <c r="B8" s="1">
        <v>-13.7165</v>
      </c>
      <c r="C8" s="1">
        <v>33.3125</v>
      </c>
      <c r="D8" s="1">
        <v>-40.5</v>
      </c>
      <c r="E8">
        <f>B8/16</f>
        <v>-0.85728124999999999</v>
      </c>
      <c r="F8">
        <f t="shared" ref="F8:G8" si="3">C8/16</f>
        <v>2.08203125</v>
      </c>
      <c r="G8">
        <f t="shared" si="3"/>
        <v>-2.53125</v>
      </c>
      <c r="H8" t="str" cm="1">
        <f t="array" ref="H8">_xlfn.TEXTJOIN(",",TRUE,TEXT(E8:G8,"0.0000"))</f>
        <v>-0.8573,2.0820,-2.5313</v>
      </c>
    </row>
    <row r="9" spans="1:16" x14ac:dyDescent="0.25">
      <c r="H9" t="str">
        <f>"["&amp;H2&amp;"],["&amp;H3&amp;"],["&amp;P3&amp;"],["&amp;P2&amp;"]"</f>
        <v>[0.3819,2.1182,-0.0912],[0.3819,2.0258,-0.0749],[-0.3819,2.0258,-0.0749],[-0.3819,2.1182,-0.0912]</v>
      </c>
      <c r="J9" s="1"/>
    </row>
    <row r="10" spans="1:16" x14ac:dyDescent="0.25">
      <c r="J10" s="1"/>
    </row>
    <row r="12" spans="1:16" x14ac:dyDescent="0.25">
      <c r="A12" t="s">
        <v>7</v>
      </c>
      <c r="B12" s="1">
        <v>6.1098999999999997</v>
      </c>
      <c r="C12" s="1">
        <v>33.890599999999999</v>
      </c>
      <c r="D12" s="1">
        <v>-1.4587000000000001</v>
      </c>
    </row>
    <row r="13" spans="1:16" x14ac:dyDescent="0.25">
      <c r="A13" t="s">
        <v>11</v>
      </c>
      <c r="B13" s="1">
        <v>-6.1098999999999997</v>
      </c>
      <c r="C13" s="1">
        <v>32.413400000000003</v>
      </c>
      <c r="D13" s="1">
        <v>-1.1982999999999999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BD262-E708-42A6-BDC2-E7C335158A1F}">
  <sheetPr codeName="Sheet13"/>
  <dimension ref="A1:P13"/>
  <sheetViews>
    <sheetView workbookViewId="0">
      <selection activeCell="H9" sqref="H9"/>
    </sheetView>
  </sheetViews>
  <sheetFormatPr defaultRowHeight="13.8" x14ac:dyDescent="0.25"/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</row>
    <row r="2" spans="1:16" x14ac:dyDescent="0.25">
      <c r="A2" t="s">
        <v>7</v>
      </c>
      <c r="B2" s="1">
        <f>$B$12</f>
        <v>-13.882899999999999</v>
      </c>
      <c r="C2" s="1">
        <f>$C$12</f>
        <v>26.9358</v>
      </c>
      <c r="D2" s="1">
        <f>$D$12</f>
        <v>13</v>
      </c>
      <c r="E2">
        <f>B2/16</f>
        <v>-0.86768124999999996</v>
      </c>
      <c r="F2">
        <f t="shared" ref="F2:G3" si="0">C2/16</f>
        <v>1.6834875</v>
      </c>
      <c r="G2">
        <f t="shared" si="0"/>
        <v>0.8125</v>
      </c>
      <c r="H2" t="str" cm="1">
        <f t="array" ref="H2">_xlfn.TEXTJOIN(",",TRUE,TEXT(E2:G2,"0.0000"))</f>
        <v>-0.8677,1.6835,0.8125</v>
      </c>
      <c r="I2" t="s">
        <v>9</v>
      </c>
      <c r="J2" s="1">
        <f>$B$12</f>
        <v>-13.882899999999999</v>
      </c>
      <c r="K2" s="1">
        <f>$C$12</f>
        <v>26.9358</v>
      </c>
      <c r="L2" s="1">
        <f>$D$13</f>
        <v>-13</v>
      </c>
      <c r="M2">
        <f>J2/16</f>
        <v>-0.86768124999999996</v>
      </c>
      <c r="N2">
        <f>K2/16</f>
        <v>1.6834875</v>
      </c>
      <c r="O2">
        <f>L2/16</f>
        <v>-0.8125</v>
      </c>
      <c r="P2" t="str" cm="1">
        <f t="array" ref="P2">_xlfn.TEXTJOIN(",",TRUE,TEXT(M2:O2,"0.0000"))</f>
        <v>-0.8677,1.6835,-0.8125</v>
      </c>
    </row>
    <row r="3" spans="1:16" x14ac:dyDescent="0.25">
      <c r="A3" t="s">
        <v>8</v>
      </c>
      <c r="B3" s="1">
        <f>$B$13</f>
        <v>-15.5733</v>
      </c>
      <c r="C3" s="1">
        <f>$C$13</f>
        <v>23.310600000000001</v>
      </c>
      <c r="D3" s="1">
        <f>$D$12</f>
        <v>13</v>
      </c>
      <c r="E3">
        <f>B3/16</f>
        <v>-0.97333124999999998</v>
      </c>
      <c r="F3">
        <f t="shared" si="0"/>
        <v>1.4569125000000001</v>
      </c>
      <c r="G3">
        <f t="shared" si="0"/>
        <v>0.8125</v>
      </c>
      <c r="H3" t="str" cm="1">
        <f t="array" ref="H3">_xlfn.TEXTJOIN(",",TRUE,TEXT(E3:G3,"0.0000"))</f>
        <v>-0.9733,1.4569,0.8125</v>
      </c>
      <c r="I3" t="s">
        <v>11</v>
      </c>
      <c r="J3" s="1">
        <f>$B$13</f>
        <v>-15.5733</v>
      </c>
      <c r="K3" s="1">
        <f>$C$13</f>
        <v>23.310600000000001</v>
      </c>
      <c r="L3" s="1">
        <f>$D$13</f>
        <v>-13</v>
      </c>
      <c r="M3">
        <f>J3/16</f>
        <v>-0.97333124999999998</v>
      </c>
      <c r="N3">
        <f t="shared" ref="N3:O3" si="1">K3/16</f>
        <v>1.4569125000000001</v>
      </c>
      <c r="O3">
        <f t="shared" si="1"/>
        <v>-0.8125</v>
      </c>
      <c r="P3" t="str" cm="1">
        <f t="array" ref="P3">_xlfn.TEXTJOIN(",",TRUE,TEXT(M3:O3,"0.0000"))</f>
        <v>-0.9733,1.4569,-0.8125</v>
      </c>
    </row>
    <row r="5" spans="1:16" x14ac:dyDescent="0.25">
      <c r="A5" t="s">
        <v>7</v>
      </c>
      <c r="B5" s="1">
        <v>-12.2165</v>
      </c>
      <c r="C5" s="1">
        <v>33.313499999999998</v>
      </c>
      <c r="D5" s="1">
        <v>-33</v>
      </c>
      <c r="E5">
        <f>B5/16</f>
        <v>-0.76353124999999999</v>
      </c>
      <c r="F5">
        <f t="shared" ref="F5:G6" si="2">C5/16</f>
        <v>2.0820937499999999</v>
      </c>
      <c r="G5">
        <f t="shared" si="2"/>
        <v>-2.0625</v>
      </c>
      <c r="H5" t="str" cm="1">
        <f t="array" ref="H5">_xlfn.TEXTJOIN(",",TRUE,TEXT(E5:G5,"0.0000"))</f>
        <v>-0.7635,2.0821,-2.0625</v>
      </c>
    </row>
    <row r="6" spans="1:16" x14ac:dyDescent="0.25">
      <c r="A6" t="s">
        <v>8</v>
      </c>
      <c r="B6" s="1">
        <v>-15.2165</v>
      </c>
      <c r="C6" s="1">
        <v>33.313499999999998</v>
      </c>
      <c r="D6" s="1">
        <v>-48</v>
      </c>
      <c r="E6">
        <f>B6/16</f>
        <v>-0.95103124999999999</v>
      </c>
      <c r="F6">
        <f t="shared" si="2"/>
        <v>2.0820937499999999</v>
      </c>
      <c r="G6">
        <f t="shared" si="2"/>
        <v>-3</v>
      </c>
      <c r="H6" t="str" cm="1">
        <f t="array" ref="H6">_xlfn.TEXTJOIN(",",TRUE,TEXT(E6:G6,"0.0000"))</f>
        <v>-0.9510,2.0821,-3.0000</v>
      </c>
    </row>
    <row r="8" spans="1:16" x14ac:dyDescent="0.25">
      <c r="A8" t="s">
        <v>10</v>
      </c>
      <c r="B8" s="1">
        <v>-13.7165</v>
      </c>
      <c r="C8" s="1">
        <v>33.3125</v>
      </c>
      <c r="D8" s="1">
        <v>-40.5</v>
      </c>
      <c r="E8">
        <f>B8/16</f>
        <v>-0.85728124999999999</v>
      </c>
      <c r="F8">
        <f t="shared" ref="F8:G8" si="3">C8/16</f>
        <v>2.08203125</v>
      </c>
      <c r="G8">
        <f t="shared" si="3"/>
        <v>-2.53125</v>
      </c>
      <c r="H8" t="str" cm="1">
        <f t="array" ref="H8">_xlfn.TEXTJOIN(",",TRUE,TEXT(E8:G8,"0.0000"))</f>
        <v>-0.8573,2.0820,-2.5313</v>
      </c>
    </row>
    <row r="9" spans="1:16" x14ac:dyDescent="0.25">
      <c r="H9" t="str">
        <f>"["&amp;H2&amp;"],["&amp;H3&amp;"],["&amp;P3&amp;"],["&amp;P2&amp;"]"</f>
        <v>[-0.8677,1.6835,0.8125],[-0.9733,1.4569,0.8125],[-0.9733,1.4569,-0.8125],[-0.8677,1.6835,-0.8125]</v>
      </c>
      <c r="J9" s="1"/>
    </row>
    <row r="10" spans="1:16" x14ac:dyDescent="0.25">
      <c r="J10" s="1"/>
    </row>
    <row r="12" spans="1:16" x14ac:dyDescent="0.25">
      <c r="A12" t="s">
        <v>7</v>
      </c>
      <c r="B12" s="1">
        <v>-13.882899999999999</v>
      </c>
      <c r="C12" s="1">
        <v>26.9358</v>
      </c>
      <c r="D12" s="1">
        <v>13</v>
      </c>
    </row>
    <row r="13" spans="1:16" x14ac:dyDescent="0.25">
      <c r="A13" t="s">
        <v>11</v>
      </c>
      <c r="B13" s="1">
        <v>-15.5733</v>
      </c>
      <c r="C13" s="1">
        <v>23.310600000000001</v>
      </c>
      <c r="D13" s="1">
        <v>-13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AE261-45C3-4FF0-B0EA-5A9BB2ED791E}">
  <sheetPr codeName="Sheet14"/>
  <dimension ref="A1:P13"/>
  <sheetViews>
    <sheetView tabSelected="1" workbookViewId="0">
      <selection activeCell="H9" sqref="H9"/>
    </sheetView>
  </sheetViews>
  <sheetFormatPr defaultRowHeight="13.8" x14ac:dyDescent="0.25"/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</row>
    <row r="2" spans="1:16" x14ac:dyDescent="0.25">
      <c r="A2" t="s">
        <v>7</v>
      </c>
      <c r="B2" s="1">
        <f>$B$12</f>
        <v>-11.9598</v>
      </c>
      <c r="C2" s="1">
        <f>$C$12</f>
        <v>30.8079</v>
      </c>
      <c r="D2" s="1">
        <f>$D$12</f>
        <v>8.75</v>
      </c>
      <c r="E2">
        <f>B2/16</f>
        <v>-0.74748749999999997</v>
      </c>
      <c r="F2">
        <f t="shared" ref="F2:G3" si="0">C2/16</f>
        <v>1.92549375</v>
      </c>
      <c r="G2">
        <f t="shared" si="0"/>
        <v>0.546875</v>
      </c>
      <c r="H2" t="str" cm="1">
        <f t="array" ref="H2">_xlfn.TEXTJOIN(",",TRUE,TEXT(E2:G2,"0.0000"))</f>
        <v>-0.7475,1.9255,0.5469</v>
      </c>
      <c r="I2" t="s">
        <v>9</v>
      </c>
      <c r="J2" s="1">
        <f>$B$12</f>
        <v>-11.9598</v>
      </c>
      <c r="K2" s="1">
        <f>$C$12</f>
        <v>30.8079</v>
      </c>
      <c r="L2" s="1">
        <f>$D$13</f>
        <v>-0.25</v>
      </c>
      <c r="M2">
        <f>J2/16</f>
        <v>-0.74748749999999997</v>
      </c>
      <c r="N2">
        <f>K2/16</f>
        <v>1.92549375</v>
      </c>
      <c r="O2">
        <f>L2/16</f>
        <v>-1.5625E-2</v>
      </c>
      <c r="P2" t="str" cm="1">
        <f t="array" ref="P2">_xlfn.TEXTJOIN(",",TRUE,TEXT(M2:O2,"0.0000"))</f>
        <v>-0.7475,1.9255,-0.0156</v>
      </c>
    </row>
    <row r="3" spans="1:16" x14ac:dyDescent="0.25">
      <c r="A3" t="s">
        <v>8</v>
      </c>
      <c r="B3" s="1">
        <f>$B$13</f>
        <v>-13.106999999999999</v>
      </c>
      <c r="C3" s="1">
        <f>$C$13</f>
        <v>29.169599999999999</v>
      </c>
      <c r="D3" s="1">
        <f>$D$12</f>
        <v>8.75</v>
      </c>
      <c r="E3">
        <f>B3/16</f>
        <v>-0.81918749999999996</v>
      </c>
      <c r="F3">
        <f t="shared" si="0"/>
        <v>1.8230999999999999</v>
      </c>
      <c r="G3">
        <f t="shared" si="0"/>
        <v>0.546875</v>
      </c>
      <c r="H3" t="str" cm="1">
        <f t="array" ref="H3">_xlfn.TEXTJOIN(",",TRUE,TEXT(E3:G3,"0.0000"))</f>
        <v>-0.8192,1.8231,0.5469</v>
      </c>
      <c r="I3" t="s">
        <v>11</v>
      </c>
      <c r="J3" s="1">
        <f>$B$13</f>
        <v>-13.106999999999999</v>
      </c>
      <c r="K3" s="1">
        <f>$C$13</f>
        <v>29.169599999999999</v>
      </c>
      <c r="L3" s="1">
        <f>$D$13</f>
        <v>-0.25</v>
      </c>
      <c r="M3">
        <f>J3/16</f>
        <v>-0.81918749999999996</v>
      </c>
      <c r="N3">
        <f t="shared" ref="N3:O3" si="1">K3/16</f>
        <v>1.8230999999999999</v>
      </c>
      <c r="O3">
        <f t="shared" si="1"/>
        <v>-1.5625E-2</v>
      </c>
      <c r="P3" t="str" cm="1">
        <f t="array" ref="P3">_xlfn.TEXTJOIN(",",TRUE,TEXT(M3:O3,"0.0000"))</f>
        <v>-0.8192,1.8231,-0.0156</v>
      </c>
    </row>
    <row r="5" spans="1:16" x14ac:dyDescent="0.25">
      <c r="A5" t="s">
        <v>7</v>
      </c>
      <c r="B5" s="1">
        <v>-12.2165</v>
      </c>
      <c r="C5" s="1">
        <v>33.313499999999998</v>
      </c>
      <c r="D5" s="1">
        <v>-33</v>
      </c>
      <c r="E5">
        <f>B5/16</f>
        <v>-0.76353124999999999</v>
      </c>
      <c r="F5">
        <f t="shared" ref="F5:G6" si="2">C5/16</f>
        <v>2.0820937499999999</v>
      </c>
      <c r="G5">
        <f t="shared" si="2"/>
        <v>-2.0625</v>
      </c>
      <c r="H5" t="str" cm="1">
        <f t="array" ref="H5">_xlfn.TEXTJOIN(",",TRUE,TEXT(E5:G5,"0.0000"))</f>
        <v>-0.7635,2.0821,-2.0625</v>
      </c>
    </row>
    <row r="6" spans="1:16" x14ac:dyDescent="0.25">
      <c r="A6" t="s">
        <v>8</v>
      </c>
      <c r="B6" s="1">
        <v>-15.2165</v>
      </c>
      <c r="C6" s="1">
        <v>33.313499999999998</v>
      </c>
      <c r="D6" s="1">
        <v>-48</v>
      </c>
      <c r="E6">
        <f>B6/16</f>
        <v>-0.95103124999999999</v>
      </c>
      <c r="F6">
        <f t="shared" si="2"/>
        <v>2.0820937499999999</v>
      </c>
      <c r="G6">
        <f t="shared" si="2"/>
        <v>-3</v>
      </c>
      <c r="H6" t="str" cm="1">
        <f t="array" ref="H6">_xlfn.TEXTJOIN(",",TRUE,TEXT(E6:G6,"0.0000"))</f>
        <v>-0.9510,2.0821,-3.0000</v>
      </c>
    </row>
    <row r="8" spans="1:16" x14ac:dyDescent="0.25">
      <c r="A8" t="s">
        <v>10</v>
      </c>
      <c r="B8" s="1">
        <v>-13.7165</v>
      </c>
      <c r="C8" s="1">
        <v>33.3125</v>
      </c>
      <c r="D8" s="1">
        <v>-40.5</v>
      </c>
      <c r="E8">
        <f>B8/16</f>
        <v>-0.85728124999999999</v>
      </c>
      <c r="F8">
        <f t="shared" ref="F8:G8" si="3">C8/16</f>
        <v>2.08203125</v>
      </c>
      <c r="G8">
        <f t="shared" si="3"/>
        <v>-2.53125</v>
      </c>
      <c r="H8" t="str" cm="1">
        <f t="array" ref="H8">_xlfn.TEXTJOIN(",",TRUE,TEXT(E8:G8,"0.0000"))</f>
        <v>-0.8573,2.0820,-2.5313</v>
      </c>
    </row>
    <row r="9" spans="1:16" x14ac:dyDescent="0.25">
      <c r="H9" t="str">
        <f>"["&amp;H2&amp;"],["&amp;H3&amp;"],["&amp;P3&amp;"],["&amp;P2&amp;"]"</f>
        <v>[-0.7475,1.9255,0.5469],[-0.8192,1.8231,0.5469],[-0.8192,1.8231,-0.0156],[-0.7475,1.9255,-0.0156]</v>
      </c>
      <c r="J9" s="1"/>
    </row>
    <row r="10" spans="1:16" x14ac:dyDescent="0.25">
      <c r="J10" s="1"/>
    </row>
    <row r="12" spans="1:16" x14ac:dyDescent="0.25">
      <c r="A12" t="s">
        <v>7</v>
      </c>
      <c r="B12" s="1">
        <v>-11.9598</v>
      </c>
      <c r="C12" s="1">
        <v>30.8079</v>
      </c>
      <c r="D12" s="1">
        <v>8.75</v>
      </c>
    </row>
    <row r="13" spans="1:16" x14ac:dyDescent="0.25">
      <c r="A13" t="s">
        <v>11</v>
      </c>
      <c r="B13" s="1">
        <v>-13.106999999999999</v>
      </c>
      <c r="C13" s="1">
        <v>29.169599999999999</v>
      </c>
      <c r="D13" s="1">
        <v>-0.25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连接处前</vt:lpstr>
      <vt:lpstr>速得器3</vt:lpstr>
      <vt:lpstr>连接处后</vt:lpstr>
      <vt:lpstr>速得器4</vt:lpstr>
      <vt:lpstr>左门</vt:lpstr>
      <vt:lpstr>速得器1</vt:lpstr>
      <vt:lpstr>右门</vt:lpstr>
      <vt:lpstr>速得器2</vt:lpstr>
      <vt:lpstr>巴士 车头</vt:lpstr>
      <vt:lpstr>巴士 车尾</vt:lpstr>
      <vt:lpstr>巴士 车侧</vt:lpstr>
      <vt:lpstr>巴士 LCD</vt:lpstr>
      <vt:lpstr>巴士 左风道屏</vt:lpstr>
      <vt:lpstr>巴士 右风道屏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宇帆 蔡</dc:creator>
  <cp:lastModifiedBy>宇帆 蔡</cp:lastModifiedBy>
  <dcterms:created xsi:type="dcterms:W3CDTF">2026-02-18T06:34:01Z</dcterms:created>
  <dcterms:modified xsi:type="dcterms:W3CDTF">2026-09-09T13:24:34Z</dcterms:modified>
</cp:coreProperties>
</file>